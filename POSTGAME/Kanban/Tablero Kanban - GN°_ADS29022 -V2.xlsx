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F4778C80-D334-42C0-820A-5F56255FD34D}" xr6:coauthVersionLast="47" xr6:coauthVersionMax="47" xr10:uidLastSave="{00000000-0000-0000-0000-000000000000}"/>
  <workbookProtection lockStructure="1"/>
  <bookViews>
    <workbookView xWindow="-110" yWindow="-110" windowWidth="19420" windowHeight="110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Datos!$A$1:$K$102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Datos!$A$1:$K$102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Datos!$A$2:$K$102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Datos!$J$2:$J$102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Datos!$E$2:$E$102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2" l="1" a="1"/>
  <c r="I102" i="2" s="1"/>
  <c r="H102" i="2"/>
  <c r="I101" i="2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I45" i="2" s="1" a="1"/>
  <c r="I45" i="2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45" i="2" l="1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A69" i="5"/>
  <c r="A70" i="5"/>
  <c r="A67" i="5"/>
  <c r="A68" i="5"/>
  <c r="A65" i="5"/>
  <c r="A66" i="5"/>
  <c r="A63" i="5"/>
  <c r="A64" i="5"/>
  <c r="A61" i="5"/>
  <c r="A62" i="5"/>
  <c r="H59" i="2"/>
  <c r="H53" i="2"/>
  <c r="I58" i="2" a="1"/>
  <c r="I58" i="2" s="1"/>
  <c r="I52" i="2" a="1"/>
  <c r="I52" i="2" s="1"/>
  <c r="H58" i="2"/>
  <c r="H52" i="2"/>
  <c r="I57" i="2" a="1"/>
  <c r="I57" i="2" s="1"/>
  <c r="H56" i="2"/>
  <c r="I55" i="2" a="1"/>
  <c r="I55" i="2" s="1"/>
  <c r="H55" i="2"/>
  <c r="H60" i="2"/>
  <c r="I59" i="2" a="1"/>
  <c r="I59" i="2" s="1"/>
  <c r="D58" i="5" s="1" a="1"/>
  <c r="D58" i="5" s="1"/>
  <c r="H57" i="2"/>
  <c r="I56" i="2" a="1"/>
  <c r="I56" i="2" s="1"/>
  <c r="D55" i="5" s="1" a="1"/>
  <c r="D55" i="5" s="1"/>
  <c r="I61" i="2" a="1"/>
  <c r="I61" i="2" s="1"/>
  <c r="H61" i="2"/>
  <c r="I60" i="2" a="1"/>
  <c r="I60" i="2" s="1"/>
  <c r="H54" i="2"/>
  <c r="I53" i="2" a="1"/>
  <c r="I53" i="2" s="1"/>
  <c r="I54" i="2" a="1"/>
  <c r="I54" i="2" s="1"/>
  <c r="D53" i="5" s="1" a="1"/>
  <c r="D53" i="5" s="1"/>
  <c r="D60" i="5" a="1"/>
  <c r="D60" i="5" s="1"/>
  <c r="A58" i="5"/>
  <c r="A59" i="5"/>
  <c r="A60" i="5"/>
  <c r="A53" i="5"/>
  <c r="A54" i="5"/>
  <c r="A55" i="5"/>
  <c r="A56" i="5"/>
  <c r="A57" i="5"/>
  <c r="D57" i="5" a="1"/>
  <c r="D57" i="5" s="1"/>
  <c r="AJ2" i="1"/>
  <c r="I86" i="2" a="1"/>
  <c r="I86" i="2" s="1"/>
  <c r="H86" i="2"/>
  <c r="H9" i="3"/>
  <c r="A85" i="5"/>
  <c r="AC2" i="1"/>
  <c r="AE2" i="1"/>
  <c r="I51" i="2" a="1"/>
  <c r="I51" i="2" s="1"/>
  <c r="H46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1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50" i="2" a="1"/>
  <c r="I50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50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9" i="2" a="1"/>
  <c r="I49" i="2" s="1"/>
  <c r="H43" i="2"/>
  <c r="H38" i="2"/>
  <c r="H32" i="2"/>
  <c r="H26" i="2"/>
  <c r="H20" i="2"/>
  <c r="H14" i="2"/>
  <c r="H8" i="2"/>
  <c r="H2" i="2"/>
  <c r="I19" i="2" a="1"/>
  <c r="I19" i="2" s="1"/>
  <c r="H47" i="2"/>
  <c r="H49" i="2"/>
  <c r="I37" i="2" a="1"/>
  <c r="I37" i="2" s="1"/>
  <c r="I31" i="2" a="1"/>
  <c r="I31" i="2" s="1"/>
  <c r="I25" i="2" a="1"/>
  <c r="I25" i="2" s="1"/>
  <c r="I13" i="2" a="1"/>
  <c r="I13" i="2" s="1"/>
  <c r="H11" i="2"/>
  <c r="I48" i="2" a="1"/>
  <c r="I48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8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7" i="2" a="1"/>
  <c r="I47" i="2" s="1"/>
  <c r="H41" i="2"/>
  <c r="I35" i="2" a="1"/>
  <c r="I35" i="2" s="1"/>
  <c r="I23" i="2" a="1"/>
  <c r="I23" i="2" s="1"/>
  <c r="I5" i="2" a="1"/>
  <c r="I5" i="2" s="1"/>
  <c r="I46" i="2" a="1"/>
  <c r="I46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2" i="5" l="1" a="1"/>
  <c r="D62" i="5" s="1"/>
  <c r="D63" i="5" a="1"/>
  <c r="D63" i="5" s="1"/>
  <c r="D64" i="5" a="1"/>
  <c r="D64" i="5" s="1"/>
  <c r="D65" i="5" a="1"/>
  <c r="D65" i="5" s="1"/>
  <c r="D66" i="5" a="1"/>
  <c r="D66" i="5" s="1"/>
  <c r="D67" i="5" a="1"/>
  <c r="D67" i="5" s="1"/>
  <c r="D68" i="5" a="1"/>
  <c r="D68" i="5" s="1"/>
  <c r="D69" i="5" a="1"/>
  <c r="D69" i="5" s="1"/>
  <c r="D70" i="5" a="1"/>
  <c r="D70" i="5" s="1"/>
  <c r="D61" i="5" a="1"/>
  <c r="D61" i="5" s="1"/>
  <c r="D54" i="5" a="1"/>
  <c r="D54" i="5" s="1"/>
  <c r="D51" i="5" a="1"/>
  <c r="D51" i="5" s="1"/>
  <c r="D59" i="5" a="1"/>
  <c r="D59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6" i="5"/>
  <c r="G46" i="5"/>
  <c r="G53" i="5"/>
  <c r="G101" i="5"/>
  <c r="G50" i="5"/>
  <c r="G7" i="5"/>
  <c r="G75" i="5"/>
  <c r="G34" i="5"/>
  <c r="G11" i="5"/>
  <c r="G29" i="5"/>
  <c r="G69" i="5"/>
  <c r="G96" i="5"/>
  <c r="G12" i="5"/>
  <c r="G22" i="5"/>
  <c r="G89" i="5"/>
  <c r="G81" i="5"/>
  <c r="G49" i="5"/>
  <c r="G58" i="5"/>
  <c r="G47" i="5"/>
  <c r="G36" i="5"/>
  <c r="G3" i="5"/>
  <c r="G70" i="5"/>
  <c r="G68" i="5"/>
  <c r="G26" i="5"/>
  <c r="G90" i="5"/>
  <c r="G71" i="5"/>
  <c r="G85" i="5"/>
  <c r="G5" i="5"/>
  <c r="G48" i="5"/>
  <c r="G66" i="5"/>
  <c r="G84" i="5"/>
  <c r="G20" i="5"/>
  <c r="G100" i="5"/>
  <c r="G24" i="5"/>
  <c r="G35" i="5"/>
  <c r="G42" i="5"/>
  <c r="G55" i="5"/>
  <c r="G98" i="5"/>
  <c r="G52" i="5"/>
  <c r="G82" i="5"/>
  <c r="G78" i="5"/>
  <c r="G61" i="5"/>
  <c r="G6" i="5"/>
  <c r="G95" i="5"/>
  <c r="G15" i="5"/>
  <c r="G59" i="5"/>
  <c r="G32" i="5"/>
  <c r="G2" i="5"/>
  <c r="G13" i="5"/>
  <c r="G14" i="5"/>
  <c r="G77" i="5"/>
  <c r="G23" i="5"/>
  <c r="G21" i="5"/>
  <c r="G30" i="5"/>
  <c r="G8" i="5"/>
  <c r="G94" i="5"/>
  <c r="G28" i="5"/>
  <c r="G87" i="5"/>
  <c r="G76" i="5"/>
  <c r="G99" i="5"/>
  <c r="G33" i="5"/>
  <c r="G54" i="5"/>
  <c r="G4" i="5"/>
  <c r="G92" i="5"/>
  <c r="G19" i="5"/>
  <c r="G72" i="5"/>
  <c r="G40" i="5"/>
  <c r="G64" i="5"/>
  <c r="G62" i="5"/>
  <c r="G31" i="5"/>
  <c r="G27" i="5"/>
  <c r="G79" i="5"/>
  <c r="G39" i="5"/>
  <c r="G37" i="5"/>
  <c r="G18" i="5"/>
  <c r="G38" i="5"/>
  <c r="G73" i="5"/>
  <c r="G86" i="5"/>
  <c r="G25" i="5"/>
  <c r="G9" i="5"/>
  <c r="G74" i="5"/>
  <c r="G65" i="5"/>
  <c r="G56" i="5"/>
  <c r="G93" i="5"/>
  <c r="G44" i="5"/>
  <c r="G91" i="5"/>
  <c r="G67" i="5"/>
  <c r="G17" i="5"/>
  <c r="G83" i="5"/>
  <c r="G60" i="5"/>
  <c r="G41" i="5"/>
  <c r="G10" i="5"/>
  <c r="G80" i="5"/>
  <c r="G51" i="5"/>
  <c r="G45" i="5"/>
  <c r="G88" i="5"/>
  <c r="G43" i="5"/>
  <c r="G63" i="5"/>
  <c r="G97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8" i="5"/>
  <c r="E47" i="5"/>
  <c r="N94" i="5"/>
  <c r="E43" i="5"/>
  <c r="M21" i="5"/>
  <c r="E30" i="5"/>
  <c r="E41" i="5"/>
  <c r="N66" i="5"/>
  <c r="M95" i="5"/>
  <c r="E40" i="5"/>
  <c r="E95" i="5"/>
  <c r="E91" i="5"/>
  <c r="E55" i="5"/>
  <c r="E36" i="5"/>
  <c r="N13" i="5"/>
  <c r="M59" i="5"/>
  <c r="E71" i="5"/>
  <c r="M82" i="5"/>
  <c r="N18" i="5"/>
  <c r="N43" i="5"/>
  <c r="M17" i="5"/>
  <c r="N58" i="5"/>
  <c r="M23" i="5"/>
  <c r="E27" i="5"/>
  <c r="E28" i="5"/>
  <c r="N28" i="5"/>
  <c r="E82" i="5"/>
  <c r="E21" i="5"/>
  <c r="M49" i="5"/>
  <c r="N42" i="5"/>
  <c r="M93" i="5"/>
  <c r="M64" i="5"/>
  <c r="M87" i="5"/>
  <c r="E5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N82" i="5"/>
  <c r="E26" i="5"/>
  <c r="N60" i="5"/>
  <c r="N47" i="5"/>
  <c r="M68" i="5"/>
  <c r="M24" i="5"/>
  <c r="M34" i="5"/>
  <c r="M99" i="5"/>
  <c r="M86" i="5"/>
  <c r="N98" i="5"/>
  <c r="M33" i="5"/>
  <c r="E45" i="5"/>
  <c r="N86" i="5"/>
  <c r="N88" i="5"/>
  <c r="E67" i="5"/>
  <c r="E97" i="5"/>
  <c r="N57" i="5"/>
  <c r="M14" i="5"/>
  <c r="M26" i="5"/>
  <c r="E10" i="5"/>
  <c r="N7" i="5"/>
  <c r="M81" i="5"/>
  <c r="M74" i="5"/>
  <c r="M91" i="5"/>
  <c r="M70" i="5"/>
  <c r="E53" i="5"/>
  <c r="N27" i="5"/>
  <c r="M89" i="5"/>
  <c r="M56" i="5"/>
  <c r="E38" i="5"/>
  <c r="M46" i="5"/>
  <c r="M72" i="5"/>
  <c r="N17" i="5"/>
  <c r="M90" i="5"/>
  <c r="M77" i="5"/>
  <c r="M42" i="5"/>
  <c r="M2" i="5"/>
  <c r="N79" i="5"/>
  <c r="N39" i="5"/>
  <c r="N64" i="5"/>
  <c r="E3" i="5"/>
  <c r="N48" i="5"/>
  <c r="E2" i="5"/>
  <c r="M88" i="5"/>
  <c r="N16" i="5"/>
  <c r="M22" i="5"/>
  <c r="N12" i="5"/>
  <c r="M4" i="5"/>
  <c r="N20" i="5"/>
  <c r="M39" i="5"/>
  <c r="E86" i="5"/>
  <c r="M15" i="5"/>
  <c r="E12" i="5"/>
  <c r="E29" i="5"/>
  <c r="E99" i="5"/>
  <c r="M25" i="5"/>
  <c r="E93" i="5"/>
  <c r="E46" i="5"/>
  <c r="M12" i="5"/>
  <c r="M45" i="5"/>
  <c r="M57" i="5"/>
  <c r="E79" i="5"/>
  <c r="E14" i="5"/>
  <c r="M55" i="5"/>
  <c r="E65" i="5"/>
  <c r="M28" i="5"/>
  <c r="E18" i="5"/>
  <c r="N97" i="5"/>
  <c r="M29" i="5"/>
  <c r="M97" i="5"/>
  <c r="E64" i="5"/>
  <c r="N19" i="5"/>
  <c r="M32" i="5"/>
  <c r="M31" i="5"/>
  <c r="E73" i="5"/>
  <c r="E42" i="5"/>
  <c r="M27" i="5"/>
  <c r="M8" i="5"/>
  <c r="N84" i="5"/>
  <c r="N61" i="5"/>
  <c r="E44" i="5"/>
  <c r="N5" i="5"/>
  <c r="N83" i="5"/>
  <c r="E96" i="5"/>
  <c r="M48" i="5"/>
  <c r="N9" i="5"/>
  <c r="E100" i="5"/>
  <c r="M62" i="5"/>
  <c r="N2" i="5"/>
  <c r="E9" i="5"/>
  <c r="M85" i="5"/>
  <c r="E84" i="5"/>
  <c r="E74" i="5"/>
  <c r="N81" i="5"/>
  <c r="M65" i="5"/>
  <c r="N23" i="5"/>
  <c r="E15" i="5"/>
  <c r="N6" i="5"/>
  <c r="E101" i="5"/>
  <c r="N91" i="5"/>
  <c r="E33" i="5"/>
  <c r="N40" i="5"/>
  <c r="M76" i="5"/>
  <c r="E39" i="5"/>
  <c r="M53" i="5"/>
  <c r="M66" i="5"/>
  <c r="E37" i="5"/>
  <c r="E34" i="5"/>
  <c r="M73" i="5"/>
  <c r="E62" i="5"/>
  <c r="M94" i="5"/>
  <c r="E54" i="5"/>
  <c r="N85" i="5"/>
  <c r="E75" i="5"/>
  <c r="E63" i="5"/>
  <c r="M37" i="5"/>
  <c r="N67" i="5"/>
  <c r="M78" i="5"/>
  <c r="N92" i="5"/>
  <c r="N3" i="5"/>
  <c r="N51" i="5"/>
  <c r="M98" i="5"/>
  <c r="N50" i="5"/>
  <c r="N25" i="5"/>
  <c r="N14" i="5"/>
  <c r="N96" i="5"/>
  <c r="M40" i="5"/>
  <c r="N65" i="5"/>
  <c r="N44" i="5"/>
  <c r="M20" i="5"/>
  <c r="E92" i="5"/>
  <c r="E77" i="5"/>
  <c r="E66" i="5"/>
  <c r="M47" i="5"/>
  <c r="N10" i="5"/>
  <c r="N75" i="5"/>
  <c r="E98" i="5"/>
  <c r="N29" i="5"/>
  <c r="N87" i="5"/>
  <c r="N74" i="5"/>
  <c r="E81" i="5"/>
  <c r="M79" i="5"/>
  <c r="N55" i="5"/>
  <c r="N100" i="5"/>
  <c r="E49" i="5"/>
  <c r="M16" i="5"/>
  <c r="E70" i="5"/>
  <c r="M75" i="5"/>
  <c r="N95" i="5"/>
  <c r="N72" i="5"/>
  <c r="E68" i="5"/>
  <c r="E50" i="5"/>
  <c r="M38" i="5"/>
  <c r="M69" i="5"/>
  <c r="M7" i="5"/>
  <c r="E76" i="5"/>
  <c r="M63" i="5"/>
  <c r="N63" i="5"/>
  <c r="N34" i="5"/>
  <c r="N73" i="5"/>
  <c r="N30" i="5"/>
  <c r="M100" i="5"/>
  <c r="E87" i="5"/>
  <c r="N53" i="5"/>
  <c r="N4" i="5"/>
  <c r="M19" i="5"/>
  <c r="N80" i="5"/>
  <c r="N54" i="5"/>
  <c r="N45" i="5"/>
  <c r="M3" i="5"/>
  <c r="M36" i="5"/>
  <c r="M96" i="5"/>
  <c r="M67" i="5"/>
  <c r="M84" i="5"/>
  <c r="M50" i="5"/>
  <c r="E56" i="5"/>
  <c r="M101" i="5"/>
  <c r="E88" i="5"/>
  <c r="M44" i="5"/>
  <c r="N69" i="5"/>
  <c r="N93" i="5"/>
  <c r="E17" i="5"/>
  <c r="N32" i="5"/>
  <c r="E48" i="5"/>
  <c r="M30" i="5"/>
  <c r="E32" i="5"/>
  <c r="M52" i="5"/>
  <c r="N37" i="5"/>
  <c r="N62" i="5"/>
  <c r="N56" i="5"/>
  <c r="E35" i="5"/>
  <c r="N8" i="5"/>
  <c r="E61" i="5"/>
  <c r="M83" i="5"/>
  <c r="M18" i="5"/>
  <c r="M80" i="5"/>
  <c r="N68" i="5"/>
  <c r="E7" i="5"/>
  <c r="M43" i="5"/>
  <c r="E60" i="5"/>
  <c r="N52" i="5"/>
  <c r="E31" i="5"/>
  <c r="N24" i="5"/>
  <c r="N99" i="5"/>
  <c r="E16" i="5"/>
  <c r="N36" i="5"/>
  <c r="E80" i="5"/>
  <c r="N90" i="5"/>
  <c r="M41" i="5"/>
  <c r="E5" i="5"/>
  <c r="E24" i="5"/>
  <c r="E83" i="5"/>
  <c r="N101" i="5"/>
  <c r="N33" i="5"/>
  <c r="N46" i="5"/>
  <c r="N49" i="5"/>
  <c r="M60" i="5"/>
  <c r="N78" i="5"/>
  <c r="E78" i="5"/>
  <c r="E22" i="5"/>
  <c r="M35" i="5"/>
  <c r="E4" i="5"/>
  <c r="M61" i="5"/>
  <c r="N77" i="5"/>
  <c r="E72" i="5"/>
  <c r="E20" i="5"/>
  <c r="N22" i="5"/>
  <c r="N41" i="5"/>
  <c r="N31" i="5"/>
  <c r="E11" i="5"/>
  <c r="E59" i="5"/>
  <c r="N11" i="5"/>
  <c r="E23" i="5"/>
  <c r="M58" i="5"/>
  <c r="N26" i="5"/>
  <c r="E85" i="5"/>
  <c r="M10" i="5"/>
  <c r="E94" i="5"/>
  <c r="M5" i="5"/>
  <c r="N76" i="5"/>
  <c r="E57" i="5"/>
  <c r="N89" i="5"/>
  <c r="E6" i="5"/>
  <c r="M51" i="5"/>
  <c r="N38" i="5"/>
  <c r="E58" i="5"/>
  <c r="M71" i="5"/>
  <c r="M9" i="5"/>
  <c r="M13" i="5"/>
  <c r="M92" i="5"/>
  <c r="N70" i="5"/>
  <c r="N21" i="5"/>
  <c r="E13" i="5"/>
  <c r="M11" i="5"/>
  <c r="N15" i="5"/>
  <c r="E89" i="5"/>
  <c r="M54" i="5"/>
  <c r="E69" i="5"/>
  <c r="N35" i="5"/>
  <c r="E19" i="5"/>
  <c r="E51" i="5"/>
  <c r="N71" i="5"/>
  <c r="E90" i="5"/>
  <c r="E25" i="5"/>
  <c r="M6" i="5"/>
  <c r="N59" i="5"/>
  <c r="L28" i="5"/>
  <c r="J64" i="5"/>
  <c r="J14" i="5"/>
  <c r="L41" i="5"/>
  <c r="J21" i="5"/>
  <c r="L11" i="5"/>
  <c r="L34" i="5"/>
  <c r="L7" i="5"/>
  <c r="J11" i="5"/>
  <c r="J42" i="5"/>
  <c r="L45" i="5"/>
  <c r="L73" i="5"/>
  <c r="L52" i="5"/>
  <c r="L96" i="5"/>
  <c r="L37" i="5"/>
  <c r="J82" i="5"/>
  <c r="L48" i="5"/>
  <c r="L5" i="5"/>
  <c r="J83" i="5"/>
  <c r="J78" i="5"/>
  <c r="J73" i="5"/>
  <c r="L88" i="5"/>
  <c r="L51" i="5"/>
  <c r="L29" i="5"/>
  <c r="L56" i="5"/>
  <c r="J70" i="5"/>
  <c r="L6" i="5"/>
  <c r="J20" i="5"/>
  <c r="J58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J39" i="5"/>
  <c r="L50" i="5"/>
  <c r="J51" i="5"/>
  <c r="J25" i="5"/>
  <c r="J65" i="5"/>
  <c r="L77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L1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J62" i="5"/>
  <c r="J36" i="5"/>
  <c r="L26" i="5"/>
  <c r="J59" i="5"/>
  <c r="L85" i="5"/>
  <c r="J13" i="5"/>
  <c r="J97" i="5"/>
  <c r="J40" i="5"/>
  <c r="L2" i="5"/>
  <c r="J88" i="5"/>
  <c r="J81" i="5"/>
  <c r="L81" i="5"/>
  <c r="J52" i="5"/>
  <c r="J66" i="5"/>
  <c r="L46" i="5"/>
  <c r="J37" i="5"/>
  <c r="J87" i="5"/>
  <c r="J55" i="5"/>
  <c r="L91" i="5"/>
  <c r="L32" i="5"/>
  <c r="J85" i="5"/>
  <c r="J72" i="5"/>
  <c r="J4" i="5"/>
  <c r="J18" i="5"/>
  <c r="J80" i="5"/>
  <c r="L61" i="5"/>
  <c r="J41" i="5"/>
  <c r="K76" i="5"/>
  <c r="K50" i="5"/>
  <c r="K77" i="5"/>
  <c r="J3" i="5"/>
  <c r="J8" i="5"/>
  <c r="J22" i="5"/>
  <c r="L15" i="5"/>
  <c r="L47" i="5"/>
  <c r="L72" i="5"/>
  <c r="L101" i="5"/>
  <c r="L18" i="5"/>
  <c r="L21" i="5"/>
  <c r="J6" i="5"/>
  <c r="L82" i="5"/>
  <c r="L83" i="5"/>
  <c r="J57" i="5"/>
  <c r="L79" i="5"/>
  <c r="K74" i="5"/>
  <c r="K84" i="5"/>
  <c r="K70" i="5"/>
  <c r="K71" i="5"/>
  <c r="K59" i="5"/>
  <c r="K49" i="5"/>
  <c r="K4" i="5"/>
  <c r="K30" i="5"/>
  <c r="K94" i="5"/>
  <c r="K32" i="5"/>
  <c r="K61" i="5"/>
  <c r="J56" i="5"/>
  <c r="L99" i="5"/>
  <c r="L20" i="5"/>
  <c r="L17" i="5"/>
  <c r="L40" i="5"/>
  <c r="K25" i="5"/>
  <c r="K26" i="5"/>
  <c r="K2" i="5"/>
  <c r="K57" i="5"/>
  <c r="K37" i="5"/>
  <c r="K24" i="5"/>
  <c r="J96" i="5"/>
  <c r="L27" i="5"/>
  <c r="J79" i="5"/>
  <c r="K60" i="5"/>
  <c r="K82" i="5"/>
  <c r="K11" i="5"/>
  <c r="J60" i="5"/>
  <c r="L12" i="5"/>
  <c r="L42" i="5"/>
  <c r="J45" i="5"/>
  <c r="L78" i="5"/>
  <c r="L58" i="5"/>
  <c r="J17" i="5"/>
  <c r="J89" i="5"/>
  <c r="L74" i="5"/>
  <c r="K65" i="5"/>
  <c r="K27" i="5"/>
  <c r="K29" i="5"/>
  <c r="K28" i="5"/>
  <c r="K68" i="5"/>
  <c r="J10" i="5"/>
  <c r="J23" i="5"/>
  <c r="J75" i="5"/>
  <c r="K67" i="5"/>
  <c r="K47" i="5"/>
  <c r="K99" i="5"/>
  <c r="K72" i="5"/>
  <c r="K43" i="5"/>
  <c r="I58" i="5"/>
  <c r="I85" i="5"/>
  <c r="I75" i="5"/>
  <c r="S194" i="1" l="1" a="1"/>
  <c r="S194" i="1" s="1"/>
  <c r="R194" i="1" a="1"/>
  <c r="R194" i="1" s="1"/>
  <c r="R193" i="4"/>
  <c r="U192" i="4" a="1"/>
  <c r="U192" i="4" s="1"/>
  <c r="T194" i="1" s="1" a="1"/>
  <c r="T194" i="1" s="1"/>
  <c r="I19" i="5"/>
  <c r="K38" i="5"/>
  <c r="K8" i="5"/>
  <c r="J12" i="5"/>
  <c r="K96" i="5"/>
  <c r="K97" i="5"/>
  <c r="K54" i="5"/>
  <c r="J99" i="5"/>
  <c r="L31" i="5"/>
  <c r="K55" i="5"/>
  <c r="K83" i="5"/>
  <c r="J63" i="5"/>
  <c r="K19" i="5"/>
  <c r="L100" i="5"/>
  <c r="L22" i="5"/>
  <c r="J101" i="5"/>
  <c r="J28" i="5"/>
  <c r="L30" i="5"/>
  <c r="J27" i="5"/>
  <c r="K5" i="5"/>
  <c r="L89" i="5"/>
  <c r="L35" i="5"/>
  <c r="J49" i="5"/>
  <c r="L53" i="5"/>
  <c r="L38" i="5"/>
  <c r="K100" i="5"/>
  <c r="K80" i="5"/>
  <c r="K98" i="5"/>
  <c r="L24" i="5"/>
  <c r="L19" i="5"/>
  <c r="L69" i="5"/>
  <c r="L14" i="5"/>
  <c r="J71" i="5"/>
  <c r="L76" i="5"/>
  <c r="J69" i="5"/>
  <c r="L90" i="5"/>
  <c r="L55" i="5"/>
  <c r="J16" i="5"/>
  <c r="J67" i="5"/>
  <c r="J34" i="5"/>
  <c r="J32" i="5"/>
  <c r="K17" i="5"/>
  <c r="K34" i="5"/>
  <c r="K63" i="5"/>
  <c r="K91" i="5"/>
  <c r="J54" i="5"/>
  <c r="L86" i="5"/>
  <c r="K58" i="5"/>
  <c r="J92" i="5"/>
  <c r="K101" i="5"/>
  <c r="K23" i="5"/>
  <c r="L98" i="5"/>
  <c r="L44" i="5"/>
  <c r="K66" i="5"/>
  <c r="K44" i="5"/>
  <c r="L92" i="5"/>
  <c r="K36" i="5"/>
  <c r="K81" i="5"/>
  <c r="I72" i="5"/>
  <c r="I12" i="5"/>
  <c r="I97" i="5"/>
  <c r="I80" i="5"/>
  <c r="I31" i="5"/>
  <c r="I7" i="5"/>
  <c r="I42" i="5"/>
  <c r="I62" i="5"/>
  <c r="I25" i="5"/>
  <c r="F24" i="5"/>
  <c r="F62" i="5"/>
  <c r="F99" i="5"/>
  <c r="F58" i="5"/>
  <c r="I47" i="5"/>
  <c r="I37" i="5"/>
  <c r="I84" i="5"/>
  <c r="I9" i="5"/>
  <c r="F3" i="5"/>
  <c r="F31" i="5"/>
  <c r="I2" i="5"/>
  <c r="I21" i="5"/>
  <c r="F25" i="5"/>
  <c r="I67" i="5"/>
  <c r="K88" i="5"/>
  <c r="K92" i="5"/>
  <c r="J5" i="5"/>
  <c r="K48" i="5"/>
  <c r="L16" i="5"/>
  <c r="K13" i="5"/>
  <c r="J98" i="5"/>
  <c r="L97" i="5"/>
  <c r="K3" i="5"/>
  <c r="K18" i="5"/>
  <c r="K9" i="5"/>
  <c r="K21" i="5"/>
  <c r="L63" i="5"/>
  <c r="L23" i="5"/>
  <c r="L84" i="5"/>
  <c r="L36" i="5"/>
  <c r="J9" i="5"/>
  <c r="J33" i="5"/>
  <c r="K86" i="5"/>
  <c r="J26" i="5"/>
  <c r="L43" i="5"/>
  <c r="J24" i="5"/>
  <c r="L67" i="5"/>
  <c r="K31" i="5"/>
  <c r="K20" i="5"/>
  <c r="L80" i="5"/>
  <c r="J76" i="5"/>
  <c r="K40" i="5"/>
  <c r="J38" i="5"/>
  <c r="L4" i="5"/>
  <c r="L94" i="5"/>
  <c r="J30" i="5"/>
  <c r="L68" i="5"/>
  <c r="J7" i="5"/>
  <c r="K62" i="5"/>
  <c r="L71" i="5"/>
  <c r="J86" i="5"/>
  <c r="J31" i="5"/>
  <c r="J100" i="5"/>
  <c r="J35" i="5"/>
  <c r="K12" i="5"/>
  <c r="K79" i="5"/>
  <c r="K14" i="5"/>
  <c r="L65" i="5"/>
  <c r="J19" i="5"/>
  <c r="K93" i="5"/>
  <c r="K10" i="5"/>
  <c r="J68" i="5"/>
  <c r="K73" i="5"/>
  <c r="J50" i="5"/>
  <c r="L87" i="5"/>
  <c r="J90" i="5"/>
  <c r="K69" i="5"/>
  <c r="K42" i="5"/>
  <c r="L59" i="5"/>
  <c r="K56" i="5"/>
  <c r="I33" i="5"/>
  <c r="I23" i="5"/>
  <c r="I14" i="5"/>
  <c r="I51" i="5"/>
  <c r="I54" i="5"/>
  <c r="I30" i="5"/>
  <c r="F92" i="5"/>
  <c r="I40" i="5"/>
  <c r="I61" i="5"/>
  <c r="I15" i="5"/>
  <c r="F16" i="5"/>
  <c r="F21" i="5"/>
  <c r="K45" i="5"/>
  <c r="K87" i="5"/>
  <c r="J77" i="5"/>
  <c r="J84" i="5"/>
  <c r="K64" i="5"/>
  <c r="L10" i="5"/>
  <c r="K52" i="5"/>
  <c r="L60" i="5"/>
  <c r="L93" i="5"/>
  <c r="K53" i="5"/>
  <c r="J53" i="5"/>
  <c r="K89" i="5"/>
  <c r="J44" i="5"/>
  <c r="J91" i="5"/>
  <c r="L9" i="5"/>
  <c r="J47" i="5"/>
  <c r="J15" i="5"/>
  <c r="L70" i="5"/>
  <c r="L3" i="5"/>
  <c r="K39" i="5"/>
  <c r="L66" i="5"/>
  <c r="J95" i="5"/>
  <c r="L33" i="5"/>
  <c r="J94" i="5"/>
  <c r="K90" i="5"/>
  <c r="K41" i="5"/>
  <c r="K78" i="5"/>
  <c r="J93" i="5"/>
  <c r="K95" i="5"/>
  <c r="J29" i="5"/>
  <c r="J74" i="5"/>
  <c r="J48" i="5"/>
  <c r="L8" i="5"/>
  <c r="L54" i="5"/>
  <c r="L25" i="5"/>
  <c r="K6" i="5"/>
  <c r="L64" i="5"/>
  <c r="L75" i="5"/>
  <c r="L62" i="5"/>
  <c r="L49" i="5"/>
  <c r="K46" i="5"/>
  <c r="K75" i="5"/>
  <c r="K33" i="5"/>
  <c r="K51" i="5"/>
  <c r="J43" i="5"/>
  <c r="J2" i="5"/>
  <c r="K22" i="5"/>
  <c r="K35" i="5"/>
  <c r="J61" i="5"/>
  <c r="K15" i="5"/>
  <c r="L57" i="5"/>
  <c r="J46" i="5"/>
  <c r="L95" i="5"/>
  <c r="K16" i="5"/>
  <c r="L39" i="5"/>
  <c r="K7" i="5"/>
  <c r="K85" i="5"/>
  <c r="I35" i="5"/>
  <c r="I63" i="5"/>
  <c r="I59" i="5"/>
  <c r="I13" i="5"/>
  <c r="I57" i="5"/>
  <c r="I86" i="5"/>
  <c r="I79" i="5"/>
  <c r="I48" i="5"/>
  <c r="I81" i="5"/>
  <c r="I28" i="5"/>
  <c r="F26" i="5"/>
  <c r="F42" i="5"/>
  <c r="I78" i="5"/>
  <c r="F59" i="5"/>
  <c r="I29" i="5"/>
  <c r="I52" i="5"/>
  <c r="I39" i="5"/>
  <c r="F88" i="5"/>
  <c r="I16" i="5"/>
  <c r="I76" i="5"/>
  <c r="F5" i="5"/>
  <c r="F89" i="5"/>
  <c r="F12" i="5"/>
  <c r="F61" i="5"/>
  <c r="I17" i="5"/>
  <c r="I66" i="5"/>
  <c r="F93" i="5"/>
  <c r="F97" i="5"/>
  <c r="I77" i="5"/>
  <c r="F90" i="5"/>
  <c r="I73" i="5"/>
  <c r="I32" i="5"/>
  <c r="F83" i="5"/>
  <c r="F40" i="5"/>
  <c r="I26" i="5"/>
  <c r="I5" i="5"/>
  <c r="I94" i="5"/>
  <c r="I49" i="5"/>
  <c r="F70" i="5"/>
  <c r="F79" i="5"/>
  <c r="F49" i="5"/>
  <c r="F39" i="5"/>
  <c r="F98" i="5"/>
  <c r="I55" i="5"/>
  <c r="I34" i="5"/>
  <c r="I44" i="5"/>
  <c r="F41" i="5"/>
  <c r="I100" i="5"/>
  <c r="F11" i="5"/>
  <c r="F15" i="5"/>
  <c r="I10" i="5"/>
  <c r="F7" i="5"/>
  <c r="I83" i="5"/>
  <c r="I101" i="5"/>
  <c r="F17" i="5"/>
  <c r="F51" i="5"/>
  <c r="I68" i="5"/>
  <c r="F95" i="5"/>
  <c r="I87" i="5"/>
  <c r="I50" i="5"/>
  <c r="F101" i="5"/>
  <c r="S195" i="1" l="1" a="1"/>
  <c r="S195" i="1" s="1"/>
  <c r="S193" i="4"/>
  <c r="T193" i="4" s="1" a="1"/>
  <c r="T193" i="4" s="1"/>
  <c r="R195" i="1" a="1"/>
  <c r="R195" i="1" s="1"/>
  <c r="F80" i="5"/>
  <c r="F72" i="5"/>
  <c r="F37" i="5"/>
  <c r="I27" i="5"/>
  <c r="F38" i="5"/>
  <c r="F44" i="5"/>
  <c r="F66" i="5"/>
  <c r="F47" i="5"/>
  <c r="F33" i="5"/>
  <c r="F100" i="5"/>
  <c r="I36" i="5"/>
  <c r="I89" i="5"/>
  <c r="I71" i="5"/>
  <c r="I38" i="5"/>
  <c r="F94" i="5"/>
  <c r="I45" i="5"/>
  <c r="F32" i="5"/>
  <c r="I22" i="5"/>
  <c r="I93" i="5"/>
  <c r="F48" i="5"/>
  <c r="I20" i="5"/>
  <c r="F82" i="5"/>
  <c r="I92" i="5"/>
  <c r="F9" i="5"/>
  <c r="F14" i="5"/>
  <c r="F4" i="5"/>
  <c r="F86" i="5"/>
  <c r="F30" i="5"/>
  <c r="F2" i="5"/>
  <c r="F50" i="5"/>
  <c r="F67" i="5"/>
  <c r="F81" i="5"/>
  <c r="F56" i="5"/>
  <c r="F91" i="5"/>
  <c r="I8" i="5"/>
  <c r="F6" i="5"/>
  <c r="I4" i="5"/>
  <c r="I95" i="5"/>
  <c r="F18" i="5"/>
  <c r="I24" i="5"/>
  <c r="I69" i="5"/>
  <c r="F8" i="5"/>
  <c r="I56" i="5"/>
  <c r="F46" i="5"/>
  <c r="I60" i="5"/>
  <c r="I46" i="5"/>
  <c r="I98" i="5"/>
  <c r="I70" i="5"/>
  <c r="I53" i="5"/>
  <c r="I18" i="5"/>
  <c r="I96" i="5"/>
  <c r="I90" i="5"/>
  <c r="F73" i="5"/>
  <c r="F63" i="5"/>
  <c r="I65" i="5"/>
  <c r="F43" i="5"/>
  <c r="I6" i="5"/>
  <c r="F71" i="5"/>
  <c r="F23" i="5"/>
  <c r="F29" i="5"/>
  <c r="F22" i="5"/>
  <c r="F20" i="5"/>
  <c r="F54" i="5"/>
  <c r="F65" i="5"/>
  <c r="F78" i="5"/>
  <c r="F68" i="5"/>
  <c r="F53" i="5"/>
  <c r="I11" i="5"/>
  <c r="F64" i="5"/>
  <c r="I43" i="5"/>
  <c r="F87" i="5"/>
  <c r="F76" i="5"/>
  <c r="I41" i="5"/>
  <c r="F84" i="5"/>
  <c r="F19" i="5"/>
  <c r="I91" i="5"/>
  <c r="F69" i="5"/>
  <c r="F45" i="5"/>
  <c r="F96" i="5"/>
  <c r="I74" i="5"/>
  <c r="F85" i="5"/>
  <c r="I64" i="5"/>
  <c r="F52" i="5"/>
  <c r="I3" i="5"/>
  <c r="I99" i="5"/>
  <c r="F35" i="5"/>
  <c r="F28" i="5"/>
  <c r="I88" i="5"/>
  <c r="F27" i="5"/>
  <c r="I82" i="5"/>
  <c r="F74" i="5"/>
  <c r="F57" i="5"/>
  <c r="F36" i="5"/>
  <c r="F60" i="5"/>
  <c r="F10" i="5"/>
  <c r="F34" i="5"/>
  <c r="F13" i="5"/>
  <c r="F55" i="5"/>
  <c r="F75" i="5"/>
  <c r="F77" i="5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" i="5"/>
  <c r="H63" i="5"/>
  <c r="H24" i="5"/>
  <c r="H49" i="5"/>
  <c r="H6" i="5"/>
  <c r="H81" i="5"/>
  <c r="H17" i="5"/>
  <c r="H73" i="5"/>
  <c r="H55" i="5"/>
  <c r="H36" i="5"/>
  <c r="H80" i="5"/>
  <c r="H77" i="5"/>
  <c r="H21" i="5"/>
  <c r="H92" i="5"/>
  <c r="H10" i="5"/>
  <c r="H38" i="5"/>
  <c r="H86" i="5"/>
  <c r="H93" i="5"/>
  <c r="H88" i="5"/>
  <c r="H28" i="5"/>
  <c r="H78" i="5"/>
  <c r="H98" i="5"/>
  <c r="H84" i="5"/>
  <c r="H74" i="5"/>
  <c r="H43" i="5"/>
  <c r="H11" i="5"/>
  <c r="H29" i="5"/>
  <c r="H8" i="5"/>
  <c r="H51" i="5"/>
  <c r="H54" i="5"/>
  <c r="H59" i="5"/>
  <c r="H52" i="5"/>
  <c r="H27" i="5"/>
  <c r="H5" i="5"/>
  <c r="H19" i="5"/>
  <c r="H22" i="5"/>
  <c r="H62" i="5"/>
  <c r="H32" i="5"/>
  <c r="H7" i="5"/>
  <c r="H97" i="5"/>
  <c r="H89" i="5"/>
  <c r="H57" i="5"/>
  <c r="H12" i="5"/>
  <c r="H25" i="5"/>
  <c r="H66" i="5"/>
  <c r="H37" i="5"/>
  <c r="H48" i="5"/>
  <c r="H9" i="5"/>
  <c r="H67" i="5"/>
  <c r="H72" i="5"/>
  <c r="H20" i="5"/>
  <c r="H65" i="5"/>
  <c r="H4" i="5"/>
  <c r="H70" i="5"/>
  <c r="H30" i="5"/>
  <c r="H34" i="5"/>
  <c r="H16" i="5"/>
  <c r="H44" i="5"/>
  <c r="H69" i="5"/>
  <c r="H87" i="5"/>
  <c r="H14" i="5"/>
  <c r="H90" i="5"/>
  <c r="H41" i="5"/>
  <c r="H18" i="5"/>
  <c r="H26" i="5"/>
  <c r="H46" i="5"/>
  <c r="H64" i="5"/>
  <c r="H39" i="5"/>
  <c r="H15" i="5"/>
  <c r="H42" i="5"/>
  <c r="H3" i="5"/>
  <c r="H71" i="5"/>
  <c r="H40" i="5"/>
  <c r="H94" i="5"/>
  <c r="H47" i="5"/>
  <c r="H100" i="5"/>
  <c r="H58" i="5"/>
  <c r="H61" i="5"/>
  <c r="H31" i="5"/>
  <c r="H76" i="5"/>
  <c r="H95" i="5"/>
  <c r="H45" i="5"/>
  <c r="H79" i="5"/>
  <c r="H13" i="5"/>
  <c r="H23" i="5"/>
  <c r="H53" i="5"/>
  <c r="H56" i="5"/>
  <c r="H68" i="5"/>
  <c r="H75" i="5"/>
  <c r="H35" i="5"/>
  <c r="H82" i="5"/>
  <c r="H50" i="5"/>
  <c r="H83" i="5"/>
  <c r="H33" i="5"/>
  <c r="H99" i="5"/>
  <c r="H60" i="5"/>
  <c r="H101" i="5"/>
  <c r="H85" i="5"/>
  <c r="H91" i="5"/>
  <c r="H9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6" i="2" s="1" a="1"/>
  <c r="K86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2" i="2" s="1" a="1"/>
  <c r="K62" i="2" s="1"/>
  <c r="O2" i="5"/>
  <c r="P2" i="5" s="1" a="1"/>
  <c r="P2" i="5" s="1"/>
  <c r="K2" i="2" s="1" a="1"/>
  <c r="K2" i="2" s="1"/>
  <c r="O76" i="5"/>
  <c r="P76" i="5" s="1" a="1"/>
  <c r="P76" i="5" s="1"/>
  <c r="K77" i="2" s="1" a="1"/>
  <c r="K77" i="2" s="1"/>
  <c r="O86" i="5"/>
  <c r="P86" i="5" s="1" a="1"/>
  <c r="P86" i="5" s="1"/>
  <c r="K87" i="2" s="1" a="1"/>
  <c r="K87" i="2" s="1"/>
  <c r="O74" i="5"/>
  <c r="P74" i="5" s="1" a="1"/>
  <c r="P74" i="5" s="1"/>
  <c r="K75" i="2" s="1" a="1"/>
  <c r="K75" i="2" s="1"/>
  <c r="O89" i="5"/>
  <c r="P89" i="5" s="1" a="1"/>
  <c r="P89" i="5" s="1"/>
  <c r="K90" i="2" s="1" a="1"/>
  <c r="K90" i="2" s="1"/>
  <c r="O101" i="5"/>
  <c r="P101" i="5" s="1" a="1"/>
  <c r="P101" i="5" s="1"/>
  <c r="K102" i="2" s="1" a="1"/>
  <c r="K102" i="2" s="1"/>
  <c r="O97" i="5"/>
  <c r="P97" i="5" s="1" a="1"/>
  <c r="P97" i="5" s="1"/>
  <c r="K98" i="2" s="1" a="1"/>
  <c r="K98" i="2" s="1"/>
  <c r="O5" i="5"/>
  <c r="P5" i="5" s="1" a="1"/>
  <c r="P5" i="5" s="1"/>
  <c r="K5" i="2" s="1" a="1"/>
  <c r="K5" i="2" s="1"/>
  <c r="O46" i="5"/>
  <c r="P46" i="5" s="1" a="1"/>
  <c r="P46" i="5" s="1"/>
  <c r="O84" i="5"/>
  <c r="P84" i="5" s="1" a="1"/>
  <c r="P84" i="5" s="1"/>
  <c r="K85" i="2" s="1" a="1"/>
  <c r="K85" i="2" s="1"/>
  <c r="O65" i="5"/>
  <c r="P65" i="5" s="1" a="1"/>
  <c r="P65" i="5" s="1"/>
  <c r="K66" i="2" s="1" a="1"/>
  <c r="K66" i="2" s="1"/>
  <c r="O47" i="5"/>
  <c r="P47" i="5" s="1" a="1"/>
  <c r="P47" i="5" s="1"/>
  <c r="K48" i="2" s="1" a="1"/>
  <c r="K48" i="2" s="1"/>
  <c r="O98" i="5"/>
  <c r="P98" i="5" s="1" a="1"/>
  <c r="P98" i="5" s="1"/>
  <c r="K99" i="2" s="1" a="1"/>
  <c r="K99" i="2" s="1"/>
  <c r="O72" i="5"/>
  <c r="P72" i="5" s="1" a="1"/>
  <c r="P72" i="5" s="1"/>
  <c r="K73" i="2" s="1" a="1"/>
  <c r="K73" i="2" s="1"/>
  <c r="O6" i="5"/>
  <c r="P6" i="5" s="1" a="1"/>
  <c r="P6" i="5" s="1"/>
  <c r="K6" i="2" s="1" a="1"/>
  <c r="K6" i="2" s="1"/>
  <c r="O88" i="5"/>
  <c r="P88" i="5" s="1" a="1"/>
  <c r="P88" i="5" s="1"/>
  <c r="K89" i="2" s="1" a="1"/>
  <c r="K89" i="2" s="1"/>
  <c r="O9" i="5"/>
  <c r="P9" i="5" s="1" a="1"/>
  <c r="P9" i="5" s="1"/>
  <c r="K9" i="2" s="1" a="1"/>
  <c r="K9" i="2" s="1"/>
  <c r="O56" i="5"/>
  <c r="P56" i="5" s="1" a="1"/>
  <c r="P56" i="5" s="1"/>
  <c r="K57" i="2" s="1" a="1"/>
  <c r="K57" i="2" s="1"/>
  <c r="O48" i="5"/>
  <c r="P48" i="5" s="1" a="1"/>
  <c r="P48" i="5" s="1"/>
  <c r="K49" i="2" s="1" a="1"/>
  <c r="K49" i="2" s="1"/>
  <c r="O43" i="5"/>
  <c r="P43" i="5" s="1" a="1"/>
  <c r="P43" i="5" s="1"/>
  <c r="K43" i="2" s="1" a="1"/>
  <c r="K43" i="2" s="1"/>
  <c r="O59" i="5"/>
  <c r="P59" i="5" s="1" a="1"/>
  <c r="P59" i="5" s="1"/>
  <c r="K60" i="2" s="1" a="1"/>
  <c r="K60" i="2" s="1"/>
  <c r="O53" i="5"/>
  <c r="P53" i="5" s="1" a="1"/>
  <c r="P53" i="5" s="1"/>
  <c r="K54" i="2" s="1" a="1"/>
  <c r="K54" i="2" s="1"/>
  <c r="O99" i="5"/>
  <c r="P99" i="5" s="1" a="1"/>
  <c r="P99" i="5" s="1"/>
  <c r="K100" i="2" s="1" a="1"/>
  <c r="K100" i="2" s="1"/>
  <c r="O96" i="5"/>
  <c r="P96" i="5" s="1" a="1"/>
  <c r="P96" i="5" s="1"/>
  <c r="K97" i="2" s="1" a="1"/>
  <c r="K97" i="2" s="1"/>
  <c r="O83" i="5"/>
  <c r="P83" i="5" s="1" a="1"/>
  <c r="P83" i="5" s="1"/>
  <c r="K84" i="2" s="1" a="1"/>
  <c r="K84" i="2" s="1"/>
  <c r="O82" i="5"/>
  <c r="P82" i="5" s="1" a="1"/>
  <c r="P82" i="5" s="1"/>
  <c r="K83" i="2" s="1" a="1"/>
  <c r="K83" i="2" s="1"/>
  <c r="O62" i="5"/>
  <c r="P62" i="5" s="1" a="1"/>
  <c r="P62" i="5" s="1"/>
  <c r="K63" i="2" s="1" a="1"/>
  <c r="K63" i="2" s="1"/>
  <c r="O67" i="5"/>
  <c r="P67" i="5" s="1" a="1"/>
  <c r="P67" i="5" s="1"/>
  <c r="K68" i="2" s="1" a="1"/>
  <c r="K68" i="2" s="1"/>
  <c r="O17" i="5"/>
  <c r="P17" i="5" s="1" a="1"/>
  <c r="P17" i="5" s="1"/>
  <c r="K17" i="2" s="1" a="1"/>
  <c r="K17" i="2" s="1"/>
  <c r="O92" i="5"/>
  <c r="P92" i="5" s="1" a="1"/>
  <c r="P92" i="5" s="1"/>
  <c r="K93" i="2" s="1" a="1"/>
  <c r="K93" i="2" s="1"/>
  <c r="O77" i="5"/>
  <c r="P77" i="5" s="1" a="1"/>
  <c r="P77" i="5" s="1"/>
  <c r="K78" i="2" s="1" a="1"/>
  <c r="K78" i="2" s="1"/>
  <c r="O50" i="5"/>
  <c r="P50" i="5" s="1" a="1"/>
  <c r="P50" i="5" s="1"/>
  <c r="K51" i="2" s="1" a="1"/>
  <c r="K51" i="2" s="1"/>
  <c r="O7" i="5"/>
  <c r="P7" i="5" s="1" a="1"/>
  <c r="P7" i="5" s="1"/>
  <c r="K7" i="2" s="1" a="1"/>
  <c r="K7" i="2" s="1"/>
  <c r="O66" i="5"/>
  <c r="P66" i="5" s="1" a="1"/>
  <c r="P66" i="5" s="1"/>
  <c r="K67" i="2" s="1" a="1"/>
  <c r="K67" i="2" s="1"/>
  <c r="O91" i="5"/>
  <c r="P91" i="5" s="1" a="1"/>
  <c r="P91" i="5" s="1"/>
  <c r="K92" i="2" s="1" a="1"/>
  <c r="K92" i="2" s="1"/>
  <c r="O55" i="5"/>
  <c r="P55" i="5" s="1" a="1"/>
  <c r="P55" i="5" s="1"/>
  <c r="K56" i="2" s="1" a="1"/>
  <c r="K56" i="2" s="1"/>
  <c r="O42" i="5"/>
  <c r="P42" i="5" s="1" a="1"/>
  <c r="P42" i="5" s="1"/>
  <c r="K42" i="2" s="1" a="1"/>
  <c r="K42" i="2" s="1"/>
  <c r="O93" i="5"/>
  <c r="P93" i="5" s="1" a="1"/>
  <c r="P93" i="5" s="1"/>
  <c r="K94" i="2" s="1" a="1"/>
  <c r="K94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3" i="2" s="1" a="1"/>
  <c r="K53" i="2" s="1"/>
  <c r="O13" i="5"/>
  <c r="P13" i="5" s="1" a="1"/>
  <c r="P13" i="5" s="1"/>
  <c r="K13" i="2" s="1" a="1"/>
  <c r="K13" i="2" s="1"/>
  <c r="O78" i="5"/>
  <c r="P78" i="5" s="1" a="1"/>
  <c r="P78" i="5" s="1"/>
  <c r="K79" i="2" s="1" a="1"/>
  <c r="K79" i="2" s="1"/>
  <c r="O3" i="5"/>
  <c r="P3" i="5" s="1" a="1"/>
  <c r="P3" i="5" s="1"/>
  <c r="K3" i="2" s="1" a="1"/>
  <c r="K3" i="2" s="1"/>
  <c r="O73" i="5"/>
  <c r="P73" i="5" s="1" a="1"/>
  <c r="P73" i="5" s="1"/>
  <c r="K74" i="2" s="1" a="1"/>
  <c r="K74" i="2" s="1"/>
  <c r="O70" i="5"/>
  <c r="P70" i="5" s="1" a="1"/>
  <c r="P70" i="5" s="1"/>
  <c r="K71" i="2" s="1" a="1"/>
  <c r="K71" i="2" s="1"/>
  <c r="O80" i="5"/>
  <c r="P80" i="5" s="1" a="1"/>
  <c r="P80" i="5" s="1"/>
  <c r="K81" i="2" s="1" a="1"/>
  <c r="K81" i="2" s="1"/>
  <c r="O94" i="5"/>
  <c r="P94" i="5" s="1" a="1"/>
  <c r="P94" i="5" s="1"/>
  <c r="K95" i="2" s="1" a="1"/>
  <c r="K95" i="2" s="1"/>
  <c r="O49" i="5"/>
  <c r="P49" i="5" s="1" a="1"/>
  <c r="P49" i="5" s="1"/>
  <c r="K50" i="2" s="1" a="1"/>
  <c r="K50" i="2" s="1"/>
  <c r="O87" i="5"/>
  <c r="P87" i="5" s="1" a="1"/>
  <c r="P87" i="5" s="1"/>
  <c r="K88" i="2" s="1" a="1"/>
  <c r="K88" i="2" s="1"/>
  <c r="O81" i="5"/>
  <c r="P81" i="5" s="1" a="1"/>
  <c r="P81" i="5" s="1"/>
  <c r="K82" i="2" s="1" a="1"/>
  <c r="K82" i="2" s="1"/>
  <c r="O79" i="5"/>
  <c r="P79" i="5" s="1" a="1"/>
  <c r="P79" i="5" s="1"/>
  <c r="K80" i="2" s="1" a="1"/>
  <c r="K80" i="2" s="1"/>
  <c r="O54" i="5"/>
  <c r="P54" i="5" s="1" a="1"/>
  <c r="P54" i="5" s="1"/>
  <c r="K55" i="2" s="1" a="1"/>
  <c r="K55" i="2" s="1"/>
  <c r="O8" i="5"/>
  <c r="P8" i="5" s="1" a="1"/>
  <c r="P8" i="5" s="1"/>
  <c r="K8" i="2" s="1" a="1"/>
  <c r="K8" i="2" s="1"/>
  <c r="O68" i="5"/>
  <c r="P68" i="5" s="1" a="1"/>
  <c r="P68" i="5" s="1"/>
  <c r="K69" i="2" s="1" a="1"/>
  <c r="K69" i="2" s="1"/>
  <c r="O57" i="5"/>
  <c r="P57" i="5" s="1" a="1"/>
  <c r="P57" i="5" s="1"/>
  <c r="K58" i="2" s="1" a="1"/>
  <c r="K58" i="2" s="1"/>
  <c r="O11" i="5"/>
  <c r="P11" i="5" s="1" a="1"/>
  <c r="P11" i="5" s="1"/>
  <c r="K11" i="2" s="1" a="1"/>
  <c r="K11" i="2" s="1"/>
  <c r="O60" i="5"/>
  <c r="P60" i="5" s="1" a="1"/>
  <c r="P60" i="5" s="1"/>
  <c r="K61" i="2" s="1" a="1"/>
  <c r="K61" i="2" s="1"/>
  <c r="O69" i="5"/>
  <c r="P69" i="5" s="1" a="1"/>
  <c r="P69" i="5" s="1"/>
  <c r="K70" i="2" s="1" a="1"/>
  <c r="K70" i="2" s="1"/>
  <c r="O64" i="5"/>
  <c r="P64" i="5" s="1" a="1"/>
  <c r="P64" i="5" s="1"/>
  <c r="K65" i="2" s="1" a="1"/>
  <c r="K65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2" i="2" s="1" a="1"/>
  <c r="K52" i="2" s="1"/>
  <c r="O100" i="5"/>
  <c r="P100" i="5" s="1" a="1"/>
  <c r="P100" i="5" s="1"/>
  <c r="K101" i="2" s="1" a="1"/>
  <c r="K101" i="2" s="1"/>
  <c r="O90" i="5"/>
  <c r="P90" i="5" s="1" a="1"/>
  <c r="P90" i="5" s="1"/>
  <c r="K91" i="2" s="1" a="1"/>
  <c r="K91" i="2" s="1"/>
  <c r="O75" i="5"/>
  <c r="P75" i="5" s="1" a="1"/>
  <c r="P75" i="5" s="1"/>
  <c r="K76" i="2" s="1" a="1"/>
  <c r="K76" i="2" s="1"/>
  <c r="O16" i="5"/>
  <c r="P16" i="5" s="1" a="1"/>
  <c r="P16" i="5" s="1"/>
  <c r="K16" i="2" s="1" a="1"/>
  <c r="K16" i="2" s="1"/>
  <c r="O63" i="5"/>
  <c r="P63" i="5" s="1" a="1"/>
  <c r="P63" i="5" s="1"/>
  <c r="K64" i="2" s="1" a="1"/>
  <c r="K64" i="2" s="1"/>
  <c r="O58" i="5"/>
  <c r="P58" i="5" s="1" a="1"/>
  <c r="P58" i="5" s="1"/>
  <c r="K59" i="2" s="1" a="1"/>
  <c r="K59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O95" i="5"/>
  <c r="P95" i="5" s="1" a="1"/>
  <c r="P95" i="5" s="1"/>
  <c r="K96" i="2" s="1" a="1"/>
  <c r="K96" i="2" s="1"/>
  <c r="O71" i="5"/>
  <c r="P71" i="5" s="1" a="1"/>
  <c r="P71" i="5" s="1"/>
  <c r="K72" i="2" s="1" a="1"/>
  <c r="K72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  <c r="K47" i="2" l="1" a="1"/>
  <c r="K47" i="2" s="1"/>
  <c r="K46" i="2" a="1"/>
  <c r="K4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<sst xmlns="http://schemas.openxmlformats.org/spreadsheetml/2006/main" count="592" uniqueCount="342">
  <si>
    <t>^</t>
  </si>
  <si>
    <t>KANBAN</t>
  </si>
  <si>
    <t>COMPLETADO</t>
  </si>
  <si>
    <t>NORMAL</t>
  </si>
  <si>
    <t>Introduccion</t>
  </si>
  <si>
    <t>Desarrollo de la introducción del PP</t>
  </si>
  <si>
    <t>Luis Calle</t>
  </si>
  <si>
    <t>IMPORTANTE</t>
  </si>
  <si>
    <t>Planteamiento del Problema</t>
  </si>
  <si>
    <t>Plantear el problema de nuestro proyecto</t>
  </si>
  <si>
    <t>Paulina Quishpe</t>
  </si>
  <si>
    <t>Objetivos</t>
  </si>
  <si>
    <t>Plantear los objetivos a cumplir</t>
  </si>
  <si>
    <t>Alcance</t>
  </si>
  <si>
    <t>Redactar el alcance de proyecto</t>
  </si>
  <si>
    <t>Elaboracion Marco teórico</t>
  </si>
  <si>
    <t>Desarrollo del marco que abarca teoría</t>
  </si>
  <si>
    <t>Kevin Andino</t>
  </si>
  <si>
    <t>URGENTE</t>
  </si>
  <si>
    <t>Elaboracion Preguntas de Entrevista</t>
  </si>
  <si>
    <t>Plantear preguntas para la entrevista</t>
  </si>
  <si>
    <t>Entrevista a cliente</t>
  </si>
  <si>
    <t>Realizar una pequeña entrevista al 
 clienta</t>
  </si>
  <si>
    <t>Elaborar matriz MTZ (5w+2h)</t>
  </si>
  <si>
    <t>Elaboración matriz MTZ (5w+2h)</t>
  </si>
  <si>
    <t>Madellyn Tasipanta</t>
  </si>
  <si>
    <t>Elaboracion de Historia de Usuario</t>
  </si>
  <si>
    <t>Realizar las Historias de usuario</t>
  </si>
  <si>
    <t>Elaboracion de Ideas a defender y resultados esperados</t>
  </si>
  <si>
    <t>Planteamiento de ideas</t>
  </si>
  <si>
    <t xml:space="preserve">Elaboracion de Viabilidad, Humana todos los apartados </t>
  </si>
  <si>
    <t>Evaluar la viabilidad del proyecto</t>
  </si>
  <si>
    <t>Elaboracion de apartado de tecnología</t>
  </si>
  <si>
    <t>Revisión de material a utilizar</t>
  </si>
  <si>
    <t>Revisión final de Perfil de Proyecto</t>
  </si>
  <si>
    <t>Verificar que esten correctos los apar_ 
tados del perfil de proyecto</t>
  </si>
  <si>
    <t>Defensa del Perfil de Proyecto</t>
  </si>
  <si>
    <t>Presentar las ideas planteadas</t>
  </si>
  <si>
    <t>Revisión del Perfil de Proyecto, Cronograma Marco de trabajo ágil SCRUM, MTZ de Marco de trabajo de Historia de Usuario</t>
  </si>
  <si>
    <t>Revisión por parte de la ingeniera guía del proyecto</t>
  </si>
  <si>
    <t>Ing. Jenny Ruiz</t>
  </si>
  <si>
    <t>Revisión de MTZ de Historias de Usuarios (HU) y Documento de descripción de HU</t>
  </si>
  <si>
    <t>Revisión de MTZ HU de proyecto real, Video con la entrevista, Defensa.</t>
  </si>
  <si>
    <t>REQ001 Ingreso y autenticacion del administrador</t>
  </si>
  <si>
    <t xml:space="preserve">Validar credenciales de administrador </t>
  </si>
  <si>
    <t>REQ001-1 Crear una interfaz que permita al administrador ingresar sus datos</t>
  </si>
  <si>
    <t>Maqueteo interfaz del aplicativo</t>
  </si>
  <si>
    <t>REQ001-2 Almacenamiento de inicio de sesión en base de datos.</t>
  </si>
  <si>
    <t>Almacenar las credenciales en una base de datos</t>
  </si>
  <si>
    <t>REQ001-3 Validación de inicio de sesión en la base de datos</t>
  </si>
  <si>
    <t>Seguridad y bloqueo del programa</t>
  </si>
  <si>
    <t>REQ002 Revision del perfil de Usuario</t>
  </si>
  <si>
    <t>Permitir al usuario ver su información</t>
  </si>
  <si>
    <t>REQ002-1  Infraestructura y Almacenamiento</t>
  </si>
  <si>
    <t xml:space="preserve">Almacenamiento de datos </t>
  </si>
  <si>
    <t>REQ002-2 Interfaz de Usuario (Módulo de Administración)</t>
  </si>
  <si>
    <t>Diseñar interfaz grafica para la edicion de datos</t>
  </si>
  <si>
    <t>REQ002-3 Procesamiento y Estandarización</t>
  </si>
  <si>
    <t>Procesamiento y edicion de datos</t>
  </si>
  <si>
    <t xml:space="preserve">Revisión de Backlog Sprint0 </t>
  </si>
  <si>
    <t>REQ003 Ingresar datos del contratos</t>
  </si>
  <si>
    <t>Fideicomiso Mercanti, Encargo Fiduciario</t>
  </si>
  <si>
    <t>REQ003-1 Visualización de las 5 plantillas y sus tipos principales.</t>
  </si>
  <si>
    <t>Planitllas para los contratos</t>
  </si>
  <si>
    <t>REQ003-2 Implementación del conjunto de campos obligatorios esenciales.</t>
  </si>
  <si>
    <t>Plantilla de contrato general</t>
  </si>
  <si>
    <t>REQ003-3 Que el administrador pueda seleccionar el tipo de contrato.</t>
  </si>
  <si>
    <t>Formularios editables para contratos</t>
  </si>
  <si>
    <t>Arreglo de Bugs</t>
  </si>
  <si>
    <t>Arreglar errores del proyecto</t>
  </si>
  <si>
    <t>Reunion de retroalimentacion con Product Owner</t>
  </si>
  <si>
    <t>Aplicar sugerencias del Product Owner</t>
  </si>
  <si>
    <t>Testeo REQ001, REQ002, REQ003</t>
  </si>
  <si>
    <t xml:space="preserve">Prueba de REQ funcionales </t>
  </si>
  <si>
    <t>Refinamiento de backlog</t>
  </si>
  <si>
    <t>Revisión de actas de reunión</t>
  </si>
  <si>
    <t>REQ004 Búsqueda de Contratos</t>
  </si>
  <si>
    <t>Búsqueda de contratos registrados de fidecomisos</t>
  </si>
  <si>
    <t xml:space="preserve">REQ004-1 </t>
  </si>
  <si>
    <t>Agregar la opción "Buscar contrato" en la interfaz principal del sistema</t>
  </si>
  <si>
    <t xml:space="preserve">REQ004-2 </t>
  </si>
  <si>
    <t>Diseñar e implementar la barra de búsqueda con filtros</t>
  </si>
  <si>
    <t xml:space="preserve">REQ004-3 </t>
  </si>
  <si>
    <t>Desarrollar la lógica de backend para filtrar y mostrar los contratos de fideicomisos que coincidan con los datos ingresados.</t>
  </si>
  <si>
    <t>REQ005 Modificación de contratos.</t>
  </si>
  <si>
    <t>Editar contratos registrados con control de versiones</t>
  </si>
  <si>
    <t>REQ005-1</t>
  </si>
  <si>
    <t>Implementar botón de "editar" dentro de la vista de detalle del contrato con validación de permisos.</t>
  </si>
  <si>
    <t xml:space="preserve">REQ005-2 </t>
  </si>
  <si>
    <t>Desarrollar sistema de control de versiones que guarde automáticamente cada modificación con fecha, hora y usuario.</t>
  </si>
  <si>
    <t xml:space="preserve">REQ005-3 </t>
  </si>
  <si>
    <t>Implementar gestión de permisos: solo la administradora pueden autorizar acceso de edición.</t>
  </si>
  <si>
    <t>REQ005-4</t>
  </si>
  <si>
    <t>Desarrollar historial de versiones visible con opción de ver versiones anteriores del contrato</t>
  </si>
  <si>
    <t>Tarea 44</t>
  </si>
  <si>
    <t>REQ005-2 Diseñar e implementar la barra de búsqueda con campos: para Laboral cédula y para Civil RUC.</t>
  </si>
  <si>
    <t>Barra de búsqueda según tipo</t>
  </si>
  <si>
    <t>REQ005-3 Desarrollar la lógica de backend para filtrar y mostrar los contratos que coincidan con los datos ingresados.</t>
  </si>
  <si>
    <t>Desarrollo de lógica backend</t>
  </si>
  <si>
    <t>Revisión de VIDEO DE ENTREVISTA 1, VIDEO MAQUETADO, VIDEO PRESENTACION</t>
  </si>
  <si>
    <t>Revisión de Backlog Sprint0, Sprint1</t>
  </si>
  <si>
    <t>Retroalimentación con Product owner</t>
  </si>
  <si>
    <t>Sugerenicas del Product Owner</t>
  </si>
  <si>
    <t>Revisión de caja negra y caja blanca Sprint0, Sprint1</t>
  </si>
  <si>
    <t>Presentación de proyectos con funcionalidad SPRINT1,2,3...</t>
  </si>
  <si>
    <t>Revisión de presentación de proyectos con funcionalidad SPRINT1,2,3...</t>
  </si>
  <si>
    <t>Revisión archivo Kanban de los sprint0, sprint1, sprint2</t>
  </si>
  <si>
    <t>REQ006 Eliminación de Contratos</t>
  </si>
  <si>
    <t>Editar y eliminar contratos registrados</t>
  </si>
  <si>
    <t>REQ006-1Permitir seleccionar un contrato desde la interfaz.</t>
  </si>
  <si>
    <t>Implementar boton de seleccion a un contrato.</t>
  </si>
  <si>
    <t>REQ006-2 Mostrar mensaje de confirmación antes de eliminar.</t>
  </si>
  <si>
    <t>Mensaje de contrato eliminado.</t>
  </si>
  <si>
    <t>REQ006-3 Verificar que el contrato exista y pueda ser eliminado.</t>
  </si>
  <si>
    <t>Verificar en el menu de todos los contratos.</t>
  </si>
  <si>
    <t>POR HACER</t>
  </si>
  <si>
    <t>Defensa de proyecto final</t>
  </si>
  <si>
    <t>Presentación final Proyecto</t>
  </si>
  <si>
    <t>Revisión defensa de proyecto final</t>
  </si>
  <si>
    <t>Últimos retoques y correcciones del proyecto</t>
  </si>
  <si>
    <t>EN PROGRESO</t>
  </si>
  <si>
    <t xml:space="preserve">REQ007 Guardar Contratos </t>
  </si>
  <si>
    <t>Guardar contratos dentro del sistema</t>
  </si>
  <si>
    <t>REQ007-1 Revisar que todos los campos requeridos estén completos.</t>
  </si>
  <si>
    <t>REQ007-2 Comprobar que el contrato no exista previamente.</t>
  </si>
  <si>
    <t>REQ007-3 Registrar el contrato con sus datos esenciales.</t>
  </si>
  <si>
    <t>REQ007-4 Notificar éxito o error al usuario.</t>
  </si>
  <si>
    <t>REQ008 Exportar Contratos</t>
  </si>
  <si>
    <t>REQ008-1 Obtener y Modelar Datos</t>
  </si>
  <si>
    <t>REQ008-2 Integrar Librería de Generación de PDF</t>
  </si>
  <si>
    <t>REQ008-3 Integrar Librería de Generación de Excel</t>
  </si>
  <si>
    <t>REQ008-4 Crear el Endpoint de Exportación (Backend)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</si>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</sst>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23" borderId="37" xfId="0" applyFill="1" applyBorder="1" applyAlignment="1" applyProtection="1">
      <alignment vertical="center"/>
      <protection locked="0"/>
    </xf>
    <xf numFmtId="0" fontId="0" fillId="24" borderId="36" xfId="0" applyFill="1" applyBorder="1" applyAlignment="1" applyProtection="1">
      <alignment vertical="center"/>
      <protection locked="0"/>
    </xf>
    <xf numFmtId="0" fontId="0" fillId="24" borderId="37" xfId="0" applyFill="1" applyBorder="1" applyAlignment="1" applyProtection="1">
      <alignment vertical="center"/>
      <protection locked="0"/>
    </xf>
    <xf numFmtId="14" fontId="0" fillId="24" borderId="37" xfId="0" applyNumberFormat="1" applyFill="1" applyBorder="1" applyAlignment="1" applyProtection="1">
      <alignment horizontal="center" vertical="center"/>
      <protection locked="0"/>
    </xf>
    <xf numFmtId="0" fontId="0" fillId="24" borderId="37" xfId="0" applyFill="1" applyBorder="1" applyAlignment="1">
      <alignment horizontal="right" vertical="center"/>
    </xf>
    <xf numFmtId="14" fontId="6" fillId="24" borderId="38" xfId="1" applyNumberFormat="1" applyFont="1" applyFill="1" applyBorder="1" applyAlignment="1">
      <alignment vertical="center"/>
    </xf>
    <xf numFmtId="0" fontId="0" fillId="24" borderId="0" xfId="0" applyFill="1" applyAlignment="1">
      <alignment wrapText="1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0" fillId="23" borderId="37" xfId="0" applyFill="1" applyBorder="1" applyAlignment="1" applyProtection="1">
      <alignment vertical="center" wrapText="1"/>
      <protection locked="0"/>
    </xf>
  </cellXfs>
  <cellStyles count="2">
    <cellStyle name="Hipervínculo" xfId="1" builtinId="8"/>
    <cellStyle name="Normal" xfId="0" builtinId="0"/>
  </cellStyles>
  <dxfs count="28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79" activePane="bottomLeft" state="frozen"/>
      <selection pane="bottomLeft" activeCell="S197" sqref="S197:T197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12" t="str">
        <f ca="1">Configura!$B$2</f>
        <v xml:space="preserve">                Tablero KANBAN v3 ©️            </v>
      </c>
      <c r="C2" s="112"/>
      <c r="D2" s="112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70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44562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(2 de 70)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(10 de 70)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70)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(58 de 70)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70)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70)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70)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70)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70)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70)</v>
      </c>
      <c r="AW4" s="115"/>
      <c r="AX4" s="115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59:</v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IFERROR(INDEX(Datos!$A$2:$K$102,Formulas!D3,RIGHT(Formulas!F3)+2),"")))</f>
        <v>Defensa de proyecto final</v>
      </c>
      <c r="E6" s="113" t="e" cm="1">
        <f t="array" aca="1" ref="E6" ca="1">IF(OR(Formulas!F4=0,Formulas!F4=""),"",HYPERLINK("["&amp;Archivo_Nombre&amp;"]Datos!"&amp;LEFT(SUBSTITUTE(ADDRESS(1,Formulas!F4+2),"$",""))&amp;Formulas!E4+1,
IFERROR(INDEX(Datos!$A$2:$K$102,Formulas!E4,Formulas!F4+2),"")))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69: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IFERROR(INDEX(Datos!$A$2:$K$102,Formulas!I3,RIGHT(Formulas!K3)+2),"")))</f>
        <v>REQ008-3 Integrar Librería de Generación de Excel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IFERROR(INDEX(Datos!$A$2:$K$102,Formulas!J4,Formulas!K4+2),"")))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IFERROR(INDEX(Datos!$A$2:$K$102,Formulas!N3,RIGHT(Formulas!P3)+2),"")))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IFERROR(INDEX(Datos!$A$2:$K$102,Formulas!O4,Formulas!P4+2),"")))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cm="1">
        <f t="array" aca="1" ref="S6" ca="1">IF(OR(Formulas!T3=0,Formulas!T3="",RIGHT(Formulas!U3)="0"),"",
HYPERLINK("["&amp;Archivo_Nombre&amp;"]Datos!"&amp;LEFT(SUBSTITUTE(ADDRESS(1,RIGHT(Formulas!U3)+2),"$",""))&amp;Formulas!S3+1,
IFERROR(INDEX(Datos!$A$2:$K$102,Formulas!S3,RIGHT(Formulas!U3)+2),"")))</f>
        <v>0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IFERROR(INDEX(Datos!$A$2:$K$102,Formulas!T4,Formulas!U4+2),"")))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IFERROR(INDEX(Datos!$A$2:$K$102,Formulas!X3,RIGHT(Formulas!Z3)+2),"")))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IFERROR(INDEX(Datos!$A$2:$K$102,Formulas!Y4,Formulas!Z4+2),"")))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IFERROR(INDEX(Datos!$A$2:$K$102,Formulas!AC3,RIGHT(Formulas!AE3)+2),"")))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IFERROR(INDEX(Datos!$A$2:$K$102,Formulas!AD4,Formulas!AE4+2),"")))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IFERROR(INDEX(Datos!$A$2:$K$102,Formulas!AH3,RIGHT(Formulas!AJ3)+2),"")))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IFERROR(INDEX(Datos!$A$2:$K$102,Formulas!AI4,Formulas!AJ4+2),"")))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IFERROR(INDEX(Datos!$A$2:$K$102,Formulas!AM3,RIGHT(Formulas!AO3)+2),"")))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IFERROR(INDEX(Datos!$A$2:$K$102,Formulas!AN4,Formulas!AO4+2),"")))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IFERROR(INDEX(Datos!$A$2:$K$102,Formulas!AR3,RIGHT(Formulas!AT3)+2),"")))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IFERROR(INDEX(Datos!$A$2:$K$102,Formulas!AS4,Formulas!AT4+2),"")))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IFERROR(INDEX(Datos!$A$2:$K$102,Formulas!AW3,RIGHT(Formulas!AY3)+2),"")))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IFERROR(INDEX(Datos!$A$2:$K$102,Formulas!AX4,Formulas!AY4+2),"")))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IFERROR(INDEX(Datos!$A$2:$K$102,Formulas!D4,RIGHT(Formulas!F4)+2),"")))</f>
        <v>Presentación final Proyecto</v>
      </c>
      <c r="E7" s="113" t="e" cm="1">
        <f t="array" aca="1" ref="E7" ca="1">IF(OR(Formulas!F5=0,Formulas!F5=""),"",HYPERLINK("["&amp;Archivo_Nombre&amp;"]Datos!"&amp;LEFT(SUBSTITUTE(ADDRESS(1,Formulas!F5+2),"$",""))&amp;Formulas!E5+1,
IFERROR(INDEX(Datos!$A$2:$K$102,Formulas!E5,Formulas!F5+2),"")))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cm="1">
        <f t="array" aca="1" ref="I7" ca="1">IF(OR(Formulas!J4=0,Formulas!J4="",RIGHT(Formulas!K4)="0"),"",
HYPERLINK("["&amp;Archivo_Nombre&amp;"]Datos!"&amp;LEFT(SUBSTITUTE(ADDRESS(1,RIGHT(Formulas!K4)+2),"$",""))&amp;Formulas!I4+1,
IFERROR(INDEX(Datos!$A$2:$K$102,Formulas!I4,RIGHT(Formulas!K4)+2),"")))</f>
        <v>0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IFERROR(INDEX(Datos!$A$2:$K$102,Formulas!J5,Formulas!K5+2),"")))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IFERROR(INDEX(Datos!$A$2:$K$102,Formulas!N4,RIGHT(Formulas!P4)+2),"")))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IFERROR(INDEX(Datos!$A$2:$K$102,Formulas!O5,Formulas!P5+2),"")))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cm="1">
        <f t="array" aca="1" ref="S7" ca="1">IF(OR(Formulas!T4=0,Formulas!T4="",RIGHT(Formulas!U4)="0"),"",
HYPERLINK("["&amp;Archivo_Nombre&amp;"]Datos!"&amp;LEFT(SUBSTITUTE(ADDRESS(1,RIGHT(Formulas!U4)+2),"$",""))&amp;Formulas!S4+1,
IFERROR(INDEX(Datos!$A$2:$K$102,Formulas!S4,RIGHT(Formulas!U4)+2),"")))</f>
        <v>0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IFERROR(INDEX(Datos!$A$2:$K$102,Formulas!T5,Formulas!U5+2),"")))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IFERROR(INDEX(Datos!$A$2:$K$102,Formulas!X4,RIGHT(Formulas!Z4)+2),"")))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IFERROR(INDEX(Datos!$A$2:$K$102,Formulas!Y5,Formulas!Z5+2),"")))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IFERROR(INDEX(Datos!$A$2:$K$102,Formulas!AC4,RIGHT(Formulas!AE4)+2),"")))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IFERROR(INDEX(Datos!$A$2:$K$102,Formulas!AD5,Formulas!AE5+2),"")))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IFERROR(INDEX(Datos!$A$2:$K$102,Formulas!AH4,RIGHT(Formulas!AJ4)+2),"")))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IFERROR(INDEX(Datos!$A$2:$K$102,Formulas!AI5,Formulas!AJ5+2),"")))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IFERROR(INDEX(Datos!$A$2:$K$102,Formulas!AM4,RIGHT(Formulas!AO4)+2),"")))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IFERROR(INDEX(Datos!$A$2:$K$102,Formulas!AN5,Formulas!AO5+2),"")))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IFERROR(INDEX(Datos!$A$2:$K$102,Formulas!AR4,RIGHT(Formulas!AT4)+2),"")))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IFERROR(INDEX(Datos!$A$2:$K$102,Formulas!AS5,Formulas!AT5+2),"")))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IFERROR(INDEX(Datos!$A$2:$K$102,Formulas!AW4,RIGHT(Formulas!AY4)+2),"")))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IFERROR(INDEX(Datos!$A$2:$K$102,Formulas!AX5,Formulas!AY5+2),"")))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3" cm="1">
        <f t="array" aca="1" ref="D8" ca="1">IF(OR(Formulas!E5=0,Formulas!E5="",RIGHT(Formulas!F5)="0"),"",
HYPERLINK("["&amp;Archivo_Nombre&amp;"]Datos!"&amp;LEFT(SUBSTITUTE(ADDRESS(1,RIGHT(Formulas!F5)+2),"$",""))&amp;Formulas!D5+1,
IFERROR(INDEX(Datos!$A$2:$K$102,Formulas!D5,RIGHT(Formulas!F5)+2),"")))</f>
        <v>45870</v>
      </c>
      <c r="E8" s="113" t="e" cm="1">
        <f t="array" aca="1" ref="E8" ca="1">IF(OR(Formulas!F6=0,Formulas!F6=""),"",HYPERLINK("["&amp;Archivo_Nombre&amp;"]Datos!"&amp;LEFT(SUBSTITUTE(ADDRESS(1,Formulas!F6+2),"$",""))&amp;Formulas!E6+1,
IFERROR(INDEX(Datos!$A$2:$K$102,Formulas!E6,Formulas!F6+2),"")))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IFERROR(INDEX(Datos!$A$2:$K$102,Formulas!I5,RIGHT(Formulas!K5)+2),"")))</f>
        <v>46039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IFERROR(INDEX(Datos!$A$2:$K$102,Formulas!J6,Formulas!K6+2),"")))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IFERROR(INDEX(Datos!$A$2:$K$102,Formulas!N5,RIGHT(Formulas!P5)+2),"")))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IFERROR(INDEX(Datos!$A$2:$K$102,Formulas!O6,Formulas!P6+2),"")))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IFERROR(INDEX(Datos!$A$2:$K$102,Formulas!S5,RIGHT(Formulas!U5)+2),"")))</f>
        <v>0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IFERROR(INDEX(Datos!$A$2:$K$102,Formulas!T6,Formulas!U6+2),"")))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IFERROR(INDEX(Datos!$A$2:$K$102,Formulas!X5,RIGHT(Formulas!Z5)+2),"")))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IFERROR(INDEX(Datos!$A$2:$K$102,Formulas!Y6,Formulas!Z6+2),"")))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IFERROR(INDEX(Datos!$A$2:$K$102,Formulas!AC5,RIGHT(Formulas!AE5)+2),"")))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IFERROR(INDEX(Datos!$A$2:$K$102,Formulas!AD6,Formulas!AE6+2),"")))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IFERROR(INDEX(Datos!$A$2:$K$102,Formulas!AH5,RIGHT(Formulas!AJ5)+2),"")))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IFERROR(INDEX(Datos!$A$2:$K$102,Formulas!AI6,Formulas!AJ6+2),"")))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IFERROR(INDEX(Datos!$A$2:$K$102,Formulas!AM5,RIGHT(Formulas!AO5)+2),"")))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IFERROR(INDEX(Datos!$A$2:$K$102,Formulas!AN6,Formulas!AO6+2),"")))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IFERROR(INDEX(Datos!$A$2:$K$102,Formulas!AR5,RIGHT(Formulas!AT5)+2),"")))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IFERROR(INDEX(Datos!$A$2:$K$102,Formulas!AS6,Formulas!AT6+2),"")))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IFERROR(INDEX(Datos!$A$2:$K$102,Formulas!AW5,RIGHT(Formulas!AY5)+2),"")))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IFERROR(INDEX(Datos!$A$2:$K$102,Formulas!AX6,Formulas!AY6+2),"")))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3" cm="1">
        <f t="array" aca="1" ref="D9" ca="1">IF(OR(Formulas!E6=0,Formulas!E6="",RIGHT(Formulas!F6)="0"),"",
HYPERLINK("["&amp;Archivo_Nombre&amp;"]Datos!"&amp;LEFT(SUBSTITUTE(ADDRESS(1,RIGHT(Formulas!F6)+2),"$",""))&amp;Formulas!D6+1,
IFERROR(INDEX(Datos!$A$2:$K$102,Formulas!D6,RIGHT(Formulas!F6)+2),"")))</f>
        <v>45870</v>
      </c>
      <c r="E9" s="113" t="e" cm="1">
        <f t="array" aca="1" ref="E9" ca="1">IF(OR(Formulas!F7=0,Formulas!F7=""),"",HYPERLINK("["&amp;Archivo_Nombre&amp;"]Datos!"&amp;LEFT(SUBSTITUTE(ADDRESS(1,Formulas!F7+2),"$",""))&amp;Formulas!E7+1,
IFERROR(INDEX(Datos!$A$2:$K$102,Formulas!E7,Formulas!F7+2),"")))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IFERROR(INDEX(Datos!$A$2:$K$102,Formulas!I6,RIGHT(Formulas!K6)+2),"")))</f>
        <v>46051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IFERROR(INDEX(Datos!$A$2:$K$102,Formulas!J7,Formulas!K7+2),"")))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IFERROR(INDEX(Datos!$A$2:$K$102,Formulas!N6,RIGHT(Formulas!P6)+2),"")))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IFERROR(INDEX(Datos!$A$2:$K$102,Formulas!O7,Formulas!P7+2),"")))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IFERROR(INDEX(Datos!$A$2:$K$102,Formulas!S6,RIGHT(Formulas!U6)+2),"")))</f>
        <v>0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IFERROR(INDEX(Datos!$A$2:$K$102,Formulas!T7,Formulas!U7+2),"")))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IFERROR(INDEX(Datos!$A$2:$K$102,Formulas!X6,RIGHT(Formulas!Z6)+2),"")))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IFERROR(INDEX(Datos!$A$2:$K$102,Formulas!Y7,Formulas!Z7+2),"")))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IFERROR(INDEX(Datos!$A$2:$K$102,Formulas!AC6,RIGHT(Formulas!AE6)+2),"")))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IFERROR(INDEX(Datos!$A$2:$K$102,Formulas!AD7,Formulas!AE7+2),"")))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IFERROR(INDEX(Datos!$A$2:$K$102,Formulas!AH6,RIGHT(Formulas!AJ6)+2),"")))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IFERROR(INDEX(Datos!$A$2:$K$102,Formulas!AI7,Formulas!AJ7+2),"")))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IFERROR(INDEX(Datos!$A$2:$K$102,Formulas!AM6,RIGHT(Formulas!AO6)+2),"")))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IFERROR(INDEX(Datos!$A$2:$K$102,Formulas!AN7,Formulas!AO7+2),"")))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IFERROR(INDEX(Datos!$A$2:$K$102,Formulas!AR6,RIGHT(Formulas!AT6)+2),"")))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IFERROR(INDEX(Datos!$A$2:$K$102,Formulas!AS7,Formulas!AT7+2),"")))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IFERROR(INDEX(Datos!$A$2:$K$102,Formulas!AW6,RIGHT(Formulas!AY6)+2),"")))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IFERROR(INDEX(Datos!$A$2:$K$102,Formulas!AX7,Formulas!AY7+2),"")))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3" cm="1">
        <f t="array" aca="1" ref="D10" ca="1">IF(OR(Formulas!E7=0,Formulas!E7="",RIGHT(Formulas!F7)="0"),"",
HYPERLINK("["&amp;Archivo_Nombre&amp;"]Datos!"&amp;LEFT(SUBSTITUTE(ADDRESS(1,RIGHT(Formulas!F7)+2),"$",""))&amp;Formulas!D7+1,
IFERROR(INDEX(Datos!$A$2:$K$102,Formulas!D7,RIGHT(Formulas!F7)+2),"")))</f>
        <v>45870</v>
      </c>
      <c r="E10" s="113" t="e" cm="1">
        <f t="array" aca="1" ref="E10" ca="1">IF(OR(Formulas!F8=0,Formulas!F8=""),"",HYPERLINK("["&amp;Archivo_Nombre&amp;"]Datos!"&amp;LEFT(SUBSTITUTE(ADDRESS(1,Formulas!F8+2),"$",""))&amp;Formulas!E8+1,
IFERROR(INDEX(Datos!$A$2:$K$102,Formulas!E8,Formulas!F8+2),"")))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IFERROR(INDEX(Datos!$A$2:$K$102,Formulas!I7,RIGHT(Formulas!K7)+2),"")))</f>
        <v>46043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IFERROR(INDEX(Datos!$A$2:$K$102,Formulas!J8,Formulas!K8+2),"")))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IFERROR(INDEX(Datos!$A$2:$K$102,Formulas!N7,RIGHT(Formulas!P7)+2),"")))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IFERROR(INDEX(Datos!$A$2:$K$102,Formulas!O8,Formulas!P8+2),"")))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IFERROR(INDEX(Datos!$A$2:$K$102,Formulas!S7,RIGHT(Formulas!U7)+2),"")))</f>
        <v>0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IFERROR(INDEX(Datos!$A$2:$K$102,Formulas!T8,Formulas!U8+2),"")))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IFERROR(INDEX(Datos!$A$2:$K$102,Formulas!X7,RIGHT(Formulas!Z7)+2),"")))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IFERROR(INDEX(Datos!$A$2:$K$102,Formulas!Y8,Formulas!Z8+2),"")))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IFERROR(INDEX(Datos!$A$2:$K$102,Formulas!AC7,RIGHT(Formulas!AE7)+2),"")))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IFERROR(INDEX(Datos!$A$2:$K$102,Formulas!AD8,Formulas!AE8+2),"")))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IFERROR(INDEX(Datos!$A$2:$K$102,Formulas!AH7,RIGHT(Formulas!AJ7)+2),"")))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IFERROR(INDEX(Datos!$A$2:$K$102,Formulas!AI8,Formulas!AJ8+2),"")))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IFERROR(INDEX(Datos!$A$2:$K$102,Formulas!AM7,RIGHT(Formulas!AO7)+2),"")))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IFERROR(INDEX(Datos!$A$2:$K$102,Formulas!AN8,Formulas!AO8+2),"")))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IFERROR(INDEX(Datos!$A$2:$K$102,Formulas!AR7,RIGHT(Formulas!AT7)+2),"")))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IFERROR(INDEX(Datos!$A$2:$K$102,Formulas!AS8,Formulas!AT8+2),"")))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IFERROR(INDEX(Datos!$A$2:$K$102,Formulas!AW7,RIGHT(Formulas!AY7)+2),"")))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IFERROR(INDEX(Datos!$A$2:$K$102,Formulas!AX8,Formulas!AY8+2),"")))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IFERROR(INDEX(Datos!$A$2:$K$102,Formulas!D8,RIGHT(Formulas!F8)+2),"")))</f>
        <v>1 días</v>
      </c>
      <c r="E11" s="113" t="e" cm="1">
        <f t="array" aca="1" ref="E11" ca="1">IF(OR(Formulas!F9=0,Formulas!F9=""),"",HYPERLINK("["&amp;Archivo_Nombre&amp;"]Datos!"&amp;LEFT(SUBSTITUTE(ADDRESS(1,Formulas!F9+2),"$",""))&amp;Formulas!E9+1,
IFERROR(INDEX(Datos!$A$2:$K$102,Formulas!E9,Formulas!F9+2),"")))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IFERROR(INDEX(Datos!$A$2:$K$102,Formulas!I8,RIGHT(Formulas!K8)+2),"")))</f>
        <v>5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IFERROR(INDEX(Datos!$A$2:$K$102,Formulas!J9,Formulas!K9+2),"")))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IFERROR(INDEX(Datos!$A$2:$K$102,Formulas!N8,RIGHT(Formulas!P8)+2),"")))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IFERROR(INDEX(Datos!$A$2:$K$102,Formulas!O9,Formulas!P9+2),"")))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IFERROR(INDEX(Datos!$A$2:$K$102,Formulas!S8,RIGHT(Formulas!U8)+2),"")))</f>
        <v/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IFERROR(INDEX(Datos!$A$2:$K$102,Formulas!T9,Formulas!U9+2),"")))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IFERROR(INDEX(Datos!$A$2:$K$102,Formulas!X8,RIGHT(Formulas!Z8)+2),"")))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IFERROR(INDEX(Datos!$A$2:$K$102,Formulas!Y9,Formulas!Z9+2),"")))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IFERROR(INDEX(Datos!$A$2:$K$102,Formulas!AC8,RIGHT(Formulas!AE8)+2),"")))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IFERROR(INDEX(Datos!$A$2:$K$102,Formulas!AD9,Formulas!AE9+2),"")))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IFERROR(INDEX(Datos!$A$2:$K$102,Formulas!AH8,RIGHT(Formulas!AJ8)+2),"")))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IFERROR(INDEX(Datos!$A$2:$K$102,Formulas!AI9,Formulas!AJ9+2),"")))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IFERROR(INDEX(Datos!$A$2:$K$102,Formulas!AM8,RIGHT(Formulas!AO8)+2),"")))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IFERROR(INDEX(Datos!$A$2:$K$102,Formulas!AN9,Formulas!AO9+2),"")))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IFERROR(INDEX(Datos!$A$2:$K$102,Formulas!AR8,RIGHT(Formulas!AT8)+2),"")))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IFERROR(INDEX(Datos!$A$2:$K$102,Formulas!AS9,Formulas!AT9+2),"")))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IFERROR(INDEX(Datos!$A$2:$K$102,Formulas!AW8,RIGHT(Formulas!AY8)+2),"")))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IFERROR(INDEX(Datos!$A$2:$K$102,Formulas!AX9,Formulas!AY9+2),"")))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IFERROR(INDEX(Datos!$A$2:$K$102,Formulas!D9,RIGHT(Formulas!F9)+2),"")))</f>
        <v>0 días</v>
      </c>
      <c r="E12" s="113" t="e" cm="1">
        <f t="array" aca="1" ref="E12" ca="1">IF(OR(Formulas!F10=0,Formulas!F10=""),"",HYPERLINK("["&amp;Archivo_Nombre&amp;"]Datos!"&amp;LEFT(SUBSTITUTE(ADDRESS(1,Formulas!F10+2),"$",""))&amp;Formulas!E10+1,
IFERROR(INDEX(Datos!$A$2:$K$102,Formulas!E10,Formulas!F10+2),"")))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IFERROR(INDEX(Datos!$A$2:$K$102,Formulas!I9,RIGHT(Formulas!K9)+2),"")))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IFERROR(INDEX(Datos!$A$2:$K$102,Formulas!J10,Formulas!K10+2),"")))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IFERROR(INDEX(Datos!$A$2:$K$102,Formulas!N9,RIGHT(Formulas!P9)+2),"")))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IFERROR(INDEX(Datos!$A$2:$K$102,Formulas!O10,Formulas!P10+2),"")))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IFERROR(INDEX(Datos!$A$2:$K$102,Formulas!S9,RIGHT(Formulas!U9)+2),"")))</f>
        <v/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IFERROR(INDEX(Datos!$A$2:$K$102,Formulas!T10,Formulas!U10+2),"")))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IFERROR(INDEX(Datos!$A$2:$K$102,Formulas!X9,RIGHT(Formulas!Z9)+2),"")))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IFERROR(INDEX(Datos!$A$2:$K$102,Formulas!Y10,Formulas!Z10+2),"")))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IFERROR(INDEX(Datos!$A$2:$K$102,Formulas!AC9,RIGHT(Formulas!AE9)+2),"")))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IFERROR(INDEX(Datos!$A$2:$K$102,Formulas!AD10,Formulas!AE10+2),"")))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IFERROR(INDEX(Datos!$A$2:$K$102,Formulas!AH9,RIGHT(Formulas!AJ9)+2),"")))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IFERROR(INDEX(Datos!$A$2:$K$102,Formulas!AI10,Formulas!AJ10+2),"")))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IFERROR(INDEX(Datos!$A$2:$K$102,Formulas!AM9,RIGHT(Formulas!AO9)+2),"")))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IFERROR(INDEX(Datos!$A$2:$K$102,Formulas!AN10,Formulas!AO10+2),"")))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IFERROR(INDEX(Datos!$A$2:$K$102,Formulas!AR9,RIGHT(Formulas!AT9)+2),"")))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IFERROR(INDEX(Datos!$A$2:$K$102,Formulas!AS10,Formulas!AT10+2),"")))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IFERROR(INDEX(Datos!$A$2:$K$102,Formulas!AW9,RIGHT(Formulas!AY9)+2),"")))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IFERROR(INDEX(Datos!$A$2:$K$102,Formulas!AX10,Formulas!AY10+2),"")))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IFERROR(INDEX(Datos!$A$2:$K$102,Formulas!D10,RIGHT(Formulas!F10)+2),"")))</f>
        <v>Kevin Andino</v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IFERROR(INDEX(Datos!$A$2:$K$102,Formulas!E11,Formulas!F11+2),"")))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IFERROR(INDEX(Datos!$A$2:$K$102,Formulas!I10,RIGHT(Formulas!K10)+2),"")))</f>
        <v>Madellyn Tasipanta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IFERROR(INDEX(Datos!$A$2:$K$102,Formulas!J11,Formulas!K11+2),"")))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IFERROR(INDEX(Datos!$A$2:$K$102,Formulas!N10,RIGHT(Formulas!P10)+2),"")))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IFERROR(INDEX(Datos!$A$2:$K$102,Formulas!O11,Formulas!P11+2),"")))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IFERROR(INDEX(Datos!$A$2:$K$102,Formulas!S10,RIGHT(Formulas!U10)+2),"")))</f>
        <v>0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IFERROR(INDEX(Datos!$A$2:$K$102,Formulas!T11,Formulas!U11+2),"")))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IFERROR(INDEX(Datos!$A$2:$K$102,Formulas!X10,RIGHT(Formulas!Z10)+2),"")))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IFERROR(INDEX(Datos!$A$2:$K$102,Formulas!Y11,Formulas!Z11+2),"")))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IFERROR(INDEX(Datos!$A$2:$K$102,Formulas!AC10,RIGHT(Formulas!AE10)+2),"")))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IFERROR(INDEX(Datos!$A$2:$K$102,Formulas!AD11,Formulas!AE11+2),"")))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IFERROR(INDEX(Datos!$A$2:$K$102,Formulas!AH10,RIGHT(Formulas!AJ10)+2),"")))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IFERROR(INDEX(Datos!$A$2:$K$102,Formulas!AI11,Formulas!AJ11+2),"")))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IFERROR(INDEX(Datos!$A$2:$K$102,Formulas!AM10,RIGHT(Formulas!AO10)+2),"")))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IFERROR(INDEX(Datos!$A$2:$K$102,Formulas!AN11,Formulas!AO11+2),"")))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IFERROR(INDEX(Datos!$A$2:$K$102,Formulas!AR10,RIGHT(Formulas!AT10)+2),"")))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IFERROR(INDEX(Datos!$A$2:$K$102,Formulas!AS11,Formulas!AT11+2),"")))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IFERROR(INDEX(Datos!$A$2:$K$102,Formulas!AW10,RIGHT(Formulas!AY10)+2),"")))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IFERROR(INDEX(Datos!$A$2:$K$102,Formulas!AX11,Formulas!AY11+2),"")))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IFERROR(INDEX(Datos!$A$2:$K$102,Formulas!D11,RIGHT(Formulas!F11)+2),"")))</f>
        <v/>
      </c>
      <c r="E14" s="113" t="e" cm="1">
        <f t="array" aca="1" ref="E14" ca="1">IF(OR(Formulas!F12=0,Formulas!F12=""),"",HYPERLINK("["&amp;Archivo_Nombre&amp;"]Datos!"&amp;LEFT(SUBSTITUTE(ADDRESS(1,Formulas!F12+2),"$",""))&amp;Formulas!E12+1,
IFERROR(INDEX(Datos!$A$2:$K$102,Formulas!E12,Formulas!F12+2),"")))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IFERROR(INDEX(Datos!$A$2:$K$102,Formulas!I11,RIGHT(Formulas!K11)+2),"")))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IFERROR(INDEX(Datos!$A$2:$K$102,Formulas!J12,Formulas!K12+2),"")))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IFERROR(INDEX(Datos!$A$2:$K$102,Formulas!N11,RIGHT(Formulas!P11)+2),"")))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IFERROR(INDEX(Datos!$A$2:$K$102,Formulas!O12,Formulas!P12+2),"")))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IFERROR(INDEX(Datos!$A$2:$K$102,Formulas!S11,RIGHT(Formulas!U11)+2),"")))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IFERROR(INDEX(Datos!$A$2:$K$102,Formulas!T12,Formulas!U12+2),"")))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IFERROR(INDEX(Datos!$A$2:$K$102,Formulas!X11,RIGHT(Formulas!Z11)+2),"")))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IFERROR(INDEX(Datos!$A$2:$K$102,Formulas!Y12,Formulas!Z12+2),"")))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IFERROR(INDEX(Datos!$A$2:$K$102,Formulas!AC11,RIGHT(Formulas!AE11)+2),"")))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IFERROR(INDEX(Datos!$A$2:$K$102,Formulas!AD12,Formulas!AE12+2),"")))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IFERROR(INDEX(Datos!$A$2:$K$102,Formulas!AH11,RIGHT(Formulas!AJ11)+2),"")))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IFERROR(INDEX(Datos!$A$2:$K$102,Formulas!AI12,Formulas!AJ12+2),"")))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IFERROR(INDEX(Datos!$A$2:$K$102,Formulas!AM11,RIGHT(Formulas!AO11)+2),"")))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IFERROR(INDEX(Datos!$A$2:$K$102,Formulas!AN12,Formulas!AO12+2),"")))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IFERROR(INDEX(Datos!$A$2:$K$102,Formulas!AR11,RIGHT(Formulas!AT11)+2),"")))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IFERROR(INDEX(Datos!$A$2:$K$102,Formulas!AS12,Formulas!AT12+2),"")))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IFERROR(INDEX(Datos!$A$2:$K$102,Formulas!AW11,RIGHT(Formulas!AY11)+2),"")))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IFERROR(INDEX(Datos!$A$2:$K$102,Formulas!AX12,Formulas!AY12+2),"")))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58:</v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IFERROR(INDEX(Datos!$A$2:$K$102,Formulas!D12,RIGHT(Formulas!F12)+2),"")))</f>
        <v>Retroalimentación con Product owner</v>
      </c>
      <c r="E15" s="113" t="e" cm="1">
        <f t="array" aca="1" ref="E15" ca="1">IF(OR(Formulas!F13=0,Formulas!F13=""),"",HYPERLINK("["&amp;Archivo_Nombre&amp;"]Datos!"&amp;LEFT(SUBSTITUTE(ADDRESS(1,Formulas!F13+2),"$",""))&amp;Formulas!E13+1,
IFERROR(INDEX(Datos!$A$2:$K$102,Formulas!E13,Formulas!F13+2),"")))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68: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IFERROR(INDEX(Datos!$A$2:$K$102,Formulas!I12,RIGHT(Formulas!K12)+2),"")))</f>
        <v>REQ008-2 Integrar Librería de Generación de PDF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IFERROR(INDEX(Datos!$A$2:$K$102,Formulas!J13,Formulas!K13+2),"")))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IFERROR(INDEX(Datos!$A$2:$K$102,Formulas!N12,RIGHT(Formulas!P12)+2),"")))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IFERROR(INDEX(Datos!$A$2:$K$102,Formulas!O13,Formulas!P13+2),"")))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57: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IFERROR(INDEX(Datos!$A$2:$K$102,Formulas!S12,RIGHT(Formulas!U12)+2),"")))</f>
        <v>REQ006-3 Verificar que el contrato exista y pueda ser eliminado.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IFERROR(INDEX(Datos!$A$2:$K$102,Formulas!T13,Formulas!U13+2),"")))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IFERROR(INDEX(Datos!$A$2:$K$102,Formulas!X12,RIGHT(Formulas!Z12)+2),"")))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IFERROR(INDEX(Datos!$A$2:$K$102,Formulas!Y13,Formulas!Z13+2),"")))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IFERROR(INDEX(Datos!$A$2:$K$102,Formulas!AC12,RIGHT(Formulas!AE12)+2),"")))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IFERROR(INDEX(Datos!$A$2:$K$102,Formulas!AD13,Formulas!AE13+2),"")))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IFERROR(INDEX(Datos!$A$2:$K$102,Formulas!AH12,RIGHT(Formulas!AJ12)+2),"")))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IFERROR(INDEX(Datos!$A$2:$K$102,Formulas!AI13,Formulas!AJ13+2),"")))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IFERROR(INDEX(Datos!$A$2:$K$102,Formulas!AM12,RIGHT(Formulas!AO12)+2),"")))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IFERROR(INDEX(Datos!$A$2:$K$102,Formulas!AN13,Formulas!AO13+2),"")))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IFERROR(INDEX(Datos!$A$2:$K$102,Formulas!AR12,RIGHT(Formulas!AT12)+2),"")))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IFERROR(INDEX(Datos!$A$2:$K$102,Formulas!AS13,Formulas!AT13+2),"")))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IFERROR(INDEX(Datos!$A$2:$K$102,Formulas!AW12,RIGHT(Formulas!AY12)+2),"")))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IFERROR(INDEX(Datos!$A$2:$K$102,Formulas!AX13,Formulas!AY13+2),"")))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IFERROR(INDEX(Datos!$A$2:$K$102,Formulas!D13,RIGHT(Formulas!F13)+2),"")))</f>
        <v>Sugerenicas del Product Owner</v>
      </c>
      <c r="E16" s="113" t="e" cm="1">
        <f t="array" aca="1" ref="E16" ca="1">IF(OR(Formulas!F14=0,Formulas!F14=""),"",HYPERLINK("["&amp;Archivo_Nombre&amp;"]Datos!"&amp;LEFT(SUBSTITUTE(ADDRESS(1,Formulas!F14+2),"$",""))&amp;Formulas!E14+1,
IFERROR(INDEX(Datos!$A$2:$K$102,Formulas!E14,Formulas!F14+2),"")))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IFERROR(INDEX(Datos!$A$2:$K$102,Formulas!I13,RIGHT(Formulas!K13)+2),"")))</f>
        <v>0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IFERROR(INDEX(Datos!$A$2:$K$102,Formulas!J14,Formulas!K14+2),"")))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IFERROR(INDEX(Datos!$A$2:$K$102,Formulas!N13,RIGHT(Formulas!P13)+2),"")))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IFERROR(INDEX(Datos!$A$2:$K$102,Formulas!O14,Formulas!P14+2),"")))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IFERROR(INDEX(Datos!$A$2:$K$102,Formulas!S13,RIGHT(Formulas!U13)+2),"")))</f>
        <v>Verificar en el menu de todos los contratos.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IFERROR(INDEX(Datos!$A$2:$K$102,Formulas!T14,Formulas!U14+2),"")))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IFERROR(INDEX(Datos!$A$2:$K$102,Formulas!X13,RIGHT(Formulas!Z13)+2),"")))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IFERROR(INDEX(Datos!$A$2:$K$102,Formulas!Y14,Formulas!Z14+2),"")))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IFERROR(INDEX(Datos!$A$2:$K$102,Formulas!AC13,RIGHT(Formulas!AE13)+2),"")))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IFERROR(INDEX(Datos!$A$2:$K$102,Formulas!AD14,Formulas!AE14+2),"")))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IFERROR(INDEX(Datos!$A$2:$K$102,Formulas!AH13,RIGHT(Formulas!AJ13)+2),"")))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IFERROR(INDEX(Datos!$A$2:$K$102,Formulas!AI14,Formulas!AJ14+2),"")))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IFERROR(INDEX(Datos!$A$2:$K$102,Formulas!AM13,RIGHT(Formulas!AO13)+2),"")))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IFERROR(INDEX(Datos!$A$2:$K$102,Formulas!AN14,Formulas!AO14+2),"")))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IFERROR(INDEX(Datos!$A$2:$K$102,Formulas!AR13,RIGHT(Formulas!AT13)+2),"")))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IFERROR(INDEX(Datos!$A$2:$K$102,Formulas!AS14,Formulas!AT14+2),"")))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IFERROR(INDEX(Datos!$A$2:$K$102,Formulas!AW13,RIGHT(Formulas!AY13)+2),"")))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IFERROR(INDEX(Datos!$A$2:$K$102,Formulas!AX14,Formulas!AY14+2),"")))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3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IFERROR(INDEX(Datos!$A$2:$K$102,Formulas!D14,RIGHT(Formulas!F14)+2),"")))</f>
        <v>45869</v>
      </c>
      <c r="E17" s="113" t="e" cm="1">
        <f t="array" aca="1" ref="E17" ca="1">IF(OR(Formulas!F15=0,Formulas!F15=""),"",HYPERLINK("["&amp;Archivo_Nombre&amp;"]Datos!"&amp;LEFT(SUBSTITUTE(ADDRESS(1,Formulas!F15+2),"$",""))&amp;Formulas!E15+1,
IFERROR(INDEX(Datos!$A$2:$K$102,Formulas!E15,Formulas!F15+2),"")))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IFERROR(INDEX(Datos!$A$2:$K$102,Formulas!I14,RIGHT(Formulas!K14)+2),"")))</f>
        <v>46037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IFERROR(INDEX(Datos!$A$2:$K$102,Formulas!J15,Formulas!K15+2),"")))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IFERROR(INDEX(Datos!$A$2:$K$102,Formulas!N14,RIGHT(Formulas!P14)+2),"")))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IFERROR(INDEX(Datos!$A$2:$K$102,Formulas!O15,Formulas!P15+2),"")))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IFERROR(INDEX(Datos!$A$2:$K$102,Formulas!S14,RIGHT(Formulas!U14)+2),"")))</f>
        <v>45994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IFERROR(INDEX(Datos!$A$2:$K$102,Formulas!T15,Formulas!U15+2),"")))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IFERROR(INDEX(Datos!$A$2:$K$102,Formulas!X14,RIGHT(Formulas!Z14)+2),"")))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IFERROR(INDEX(Datos!$A$2:$K$102,Formulas!Y15,Formulas!Z15+2),"")))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IFERROR(INDEX(Datos!$A$2:$K$102,Formulas!AC14,RIGHT(Formulas!AE14)+2),"")))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IFERROR(INDEX(Datos!$A$2:$K$102,Formulas!AD15,Formulas!AE15+2),"")))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IFERROR(INDEX(Datos!$A$2:$K$102,Formulas!AH14,RIGHT(Formulas!AJ14)+2),"")))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IFERROR(INDEX(Datos!$A$2:$K$102,Formulas!AI15,Formulas!AJ15+2),"")))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IFERROR(INDEX(Datos!$A$2:$K$102,Formulas!AM14,RIGHT(Formulas!AO14)+2),"")))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IFERROR(INDEX(Datos!$A$2:$K$102,Formulas!AN15,Formulas!AO15+2),"")))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IFERROR(INDEX(Datos!$A$2:$K$102,Formulas!AR14,RIGHT(Formulas!AT14)+2),"")))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IFERROR(INDEX(Datos!$A$2:$K$102,Formulas!AS15,Formulas!AT15+2),"")))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IFERROR(INDEX(Datos!$A$2:$K$102,Formulas!AW14,RIGHT(Formulas!AY14)+2),"")))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IFERROR(INDEX(Datos!$A$2:$K$102,Formulas!AX15,Formulas!AY15+2),"")))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3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IFERROR(INDEX(Datos!$A$2:$K$102,Formulas!D15,RIGHT(Formulas!F15)+2),"")))</f>
        <v>45869</v>
      </c>
      <c r="E18" s="113" t="e" cm="1">
        <f t="array" aca="1" ref="E18" ca="1">IF(OR(Formulas!F16=0,Formulas!F16=""),"",HYPERLINK("["&amp;Archivo_Nombre&amp;"]Datos!"&amp;LEFT(SUBSTITUTE(ADDRESS(1,Formulas!F16+2),"$",""))&amp;Formulas!E16+1,
IFERROR(INDEX(Datos!$A$2:$K$102,Formulas!E16,Formulas!F16+2),"")))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IFERROR(INDEX(Datos!$A$2:$K$102,Formulas!I15,RIGHT(Formulas!K15)+2),"")))</f>
        <v>46050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IFERROR(INDEX(Datos!$A$2:$K$102,Formulas!J16,Formulas!K16+2),"")))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IFERROR(INDEX(Datos!$A$2:$K$102,Formulas!N15,RIGHT(Formulas!P15)+2),"")))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IFERROR(INDEX(Datos!$A$2:$K$102,Formulas!O16,Formulas!P16+2),"")))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IFERROR(INDEX(Datos!$A$2:$K$102,Formulas!S15,RIGHT(Formulas!U15)+2),"")))</f>
        <v>46001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IFERROR(INDEX(Datos!$A$2:$K$102,Formulas!T16,Formulas!U16+2),"")))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IFERROR(INDEX(Datos!$A$2:$K$102,Formulas!X15,RIGHT(Formulas!Z15)+2),"")))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IFERROR(INDEX(Datos!$A$2:$K$102,Formulas!Y16,Formulas!Z16+2),"")))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IFERROR(INDEX(Datos!$A$2:$K$102,Formulas!AC15,RIGHT(Formulas!AE15)+2),"")))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IFERROR(INDEX(Datos!$A$2:$K$102,Formulas!AD16,Formulas!AE16+2),"")))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IFERROR(INDEX(Datos!$A$2:$K$102,Formulas!AH15,RIGHT(Formulas!AJ15)+2),"")))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IFERROR(INDEX(Datos!$A$2:$K$102,Formulas!AI16,Formulas!AJ16+2),"")))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IFERROR(INDEX(Datos!$A$2:$K$102,Formulas!AM15,RIGHT(Formulas!AO15)+2),"")))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IFERROR(INDEX(Datos!$A$2:$K$102,Formulas!AN16,Formulas!AO16+2),"")))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IFERROR(INDEX(Datos!$A$2:$K$102,Formulas!AR15,RIGHT(Formulas!AT15)+2),"")))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IFERROR(INDEX(Datos!$A$2:$K$102,Formulas!AS16,Formulas!AT16+2),"")))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IFERROR(INDEX(Datos!$A$2:$K$102,Formulas!AW15,RIGHT(Formulas!AY15)+2),"")))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IFERROR(INDEX(Datos!$A$2:$K$102,Formulas!AX16,Formulas!AY16+2),"")))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3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IFERROR(INDEX(Datos!$A$2:$K$102,Formulas!D16,RIGHT(Formulas!F16)+2),"")))</f>
        <v>45869</v>
      </c>
      <c r="E19" s="113" t="e" cm="1">
        <f t="array" aca="1" ref="E19" ca="1">IF(OR(Formulas!F17=0,Formulas!F17=""),"",HYPERLINK("["&amp;Archivo_Nombre&amp;"]Datos!"&amp;LEFT(SUBSTITUTE(ADDRESS(1,Formulas!F17+2),"$",""))&amp;Formulas!E17+1,
IFERROR(INDEX(Datos!$A$2:$K$102,Formulas!E17,Formulas!F17+2),"")))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IFERROR(INDEX(Datos!$A$2:$K$102,Formulas!I16,RIGHT(Formulas!K16)+2),"")))</f>
        <v>46043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IFERROR(INDEX(Datos!$A$2:$K$102,Formulas!J17,Formulas!K17+2),"")))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IFERROR(INDEX(Datos!$A$2:$K$102,Formulas!N16,RIGHT(Formulas!P16)+2),"")))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IFERROR(INDEX(Datos!$A$2:$K$102,Formulas!O17,Formulas!P17+2),"")))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IFERROR(INDEX(Datos!$A$2:$K$102,Formulas!S16,RIGHT(Formulas!U16)+2),"")))</f>
        <v>45999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IFERROR(INDEX(Datos!$A$2:$K$102,Formulas!T17,Formulas!U17+2),"")))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IFERROR(INDEX(Datos!$A$2:$K$102,Formulas!X16,RIGHT(Formulas!Z16)+2),"")))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IFERROR(INDEX(Datos!$A$2:$K$102,Formulas!Y17,Formulas!Z17+2),"")))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IFERROR(INDEX(Datos!$A$2:$K$102,Formulas!AC16,RIGHT(Formulas!AE16)+2),"")))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IFERROR(INDEX(Datos!$A$2:$K$102,Formulas!AD17,Formulas!AE17+2),"")))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IFERROR(INDEX(Datos!$A$2:$K$102,Formulas!AH16,RIGHT(Formulas!AJ16)+2),"")))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IFERROR(INDEX(Datos!$A$2:$K$102,Formulas!AI17,Formulas!AJ17+2),"")))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IFERROR(INDEX(Datos!$A$2:$K$102,Formulas!AM16,RIGHT(Formulas!AO16)+2),"")))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IFERROR(INDEX(Datos!$A$2:$K$102,Formulas!AN17,Formulas!AO17+2),"")))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IFERROR(INDEX(Datos!$A$2:$K$102,Formulas!AR16,RIGHT(Formulas!AT16)+2),"")))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IFERROR(INDEX(Datos!$A$2:$K$102,Formulas!AS17,Formulas!AT17+2),"")))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IFERROR(INDEX(Datos!$A$2:$K$102,Formulas!AW16,RIGHT(Formulas!AY16)+2),"")))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IFERROR(INDEX(Datos!$A$2:$K$102,Formulas!AX17,Formulas!AY17+2),"")))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IFERROR(INDEX(Datos!$A$2:$K$102,Formulas!D17,RIGHT(Formulas!F17)+2),"")))</f>
        <v>1 días</v>
      </c>
      <c r="E20" s="113" t="e" cm="1">
        <f t="array" aca="1" ref="E20" ca="1">IF(OR(Formulas!F18=0,Formulas!F18=""),"",HYPERLINK("["&amp;Archivo_Nombre&amp;"]Datos!"&amp;LEFT(SUBSTITUTE(ADDRESS(1,Formulas!F18+2),"$",""))&amp;Formulas!E18+1,
IFERROR(INDEX(Datos!$A$2:$K$102,Formulas!E18,Formulas!F18+2),"")))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IFERROR(INDEX(Datos!$A$2:$K$102,Formulas!I17,RIGHT(Formulas!K17)+2),"")))</f>
        <v>7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IFERROR(INDEX(Datos!$A$2:$K$102,Formulas!J18,Formulas!K18+2),"")))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IFERROR(INDEX(Datos!$A$2:$K$102,Formulas!N17,RIGHT(Formulas!P17)+2),"")))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IFERROR(INDEX(Datos!$A$2:$K$102,Formulas!O18,Formulas!P18+2),"")))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IFERROR(INDEX(Datos!$A$2:$K$102,Formulas!S17,RIGHT(Formulas!U17)+2),"")))</f>
        <v>6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IFERROR(INDEX(Datos!$A$2:$K$102,Formulas!T18,Formulas!U18+2),"")))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IFERROR(INDEX(Datos!$A$2:$K$102,Formulas!X17,RIGHT(Formulas!Z17)+2),"")))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IFERROR(INDEX(Datos!$A$2:$K$102,Formulas!Y18,Formulas!Z18+2),"")))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IFERROR(INDEX(Datos!$A$2:$K$102,Formulas!AC17,RIGHT(Formulas!AE17)+2),"")))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IFERROR(INDEX(Datos!$A$2:$K$102,Formulas!AD18,Formulas!AE18+2),"")))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IFERROR(INDEX(Datos!$A$2:$K$102,Formulas!AH17,RIGHT(Formulas!AJ17)+2),"")))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IFERROR(INDEX(Datos!$A$2:$K$102,Formulas!AI18,Formulas!AJ18+2),"")))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IFERROR(INDEX(Datos!$A$2:$K$102,Formulas!AM17,RIGHT(Formulas!AO17)+2),"")))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IFERROR(INDEX(Datos!$A$2:$K$102,Formulas!AN18,Formulas!AO18+2),"")))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IFERROR(INDEX(Datos!$A$2:$K$102,Formulas!AR17,RIGHT(Formulas!AT17)+2),"")))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IFERROR(INDEX(Datos!$A$2:$K$102,Formulas!AS18,Formulas!AT18+2),"")))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IFERROR(INDEX(Datos!$A$2:$K$102,Formulas!AW17,RIGHT(Formulas!AY17)+2),"")))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IFERROR(INDEX(Datos!$A$2:$K$102,Formulas!AX18,Formulas!AY18+2),"")))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IFERROR(INDEX(Datos!$A$2:$K$102,Formulas!D18,RIGHT(Formulas!F18)+2),"")))</f>
        <v>0 días</v>
      </c>
      <c r="E21" s="113" t="e" cm="1">
        <f t="array" aca="1" ref="E21" ca="1">IF(OR(Formulas!F19=0,Formulas!F19=""),"",HYPERLINK("["&amp;Archivo_Nombre&amp;"]Datos!"&amp;LEFT(SUBSTITUTE(ADDRESS(1,Formulas!F19+2),"$",""))&amp;Formulas!E19+1,
IFERROR(INDEX(Datos!$A$2:$K$102,Formulas!E19,Formulas!F19+2),"")))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IFERROR(INDEX(Datos!$A$2:$K$102,Formulas!I18,RIGHT(Formulas!K18)+2),"")))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IFERROR(INDEX(Datos!$A$2:$K$102,Formulas!J19,Formulas!K19+2),"")))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IFERROR(INDEX(Datos!$A$2:$K$102,Formulas!N18,RIGHT(Formulas!P18)+2),"")))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IFERROR(INDEX(Datos!$A$2:$K$102,Formulas!O19,Formulas!P19+2),"")))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IFERROR(INDEX(Datos!$A$2:$K$102,Formulas!S18,RIGHT(Formulas!U18)+2),"")))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IFERROR(INDEX(Datos!$A$2:$K$102,Formulas!T19,Formulas!U19+2),"")))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IFERROR(INDEX(Datos!$A$2:$K$102,Formulas!X18,RIGHT(Formulas!Z18)+2),"")))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IFERROR(INDEX(Datos!$A$2:$K$102,Formulas!Y19,Formulas!Z19+2),"")))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IFERROR(INDEX(Datos!$A$2:$K$102,Formulas!AC18,RIGHT(Formulas!AE18)+2),"")))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IFERROR(INDEX(Datos!$A$2:$K$102,Formulas!AD19,Formulas!AE19+2),"")))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IFERROR(INDEX(Datos!$A$2:$K$102,Formulas!AH18,RIGHT(Formulas!AJ18)+2),"")))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IFERROR(INDEX(Datos!$A$2:$K$102,Formulas!AI19,Formulas!AJ19+2),"")))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IFERROR(INDEX(Datos!$A$2:$K$102,Formulas!AM18,RIGHT(Formulas!AO18)+2),"")))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IFERROR(INDEX(Datos!$A$2:$K$102,Formulas!AN19,Formulas!AO19+2),"")))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IFERROR(INDEX(Datos!$A$2:$K$102,Formulas!AR18,RIGHT(Formulas!AT18)+2),"")))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IFERROR(INDEX(Datos!$A$2:$K$102,Formulas!AS19,Formulas!AT19+2),"")))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IFERROR(INDEX(Datos!$A$2:$K$102,Formulas!AW18,RIGHT(Formulas!AY18)+2),"")))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IFERROR(INDEX(Datos!$A$2:$K$102,Formulas!AX19,Formulas!AY19+2),"")))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IFERROR(INDEX(Datos!$A$2:$K$102,Formulas!D19,RIGHT(Formulas!F19)+2),"")))</f>
        <v>Kevin Andino</v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IFERROR(INDEX(Datos!$A$2:$K$102,Formulas!E20,Formulas!F20+2),"")))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IFERROR(INDEX(Datos!$A$2:$K$102,Formulas!I19,RIGHT(Formulas!K19)+2),"")))</f>
        <v>Madellyn Tasipanta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IFERROR(INDEX(Datos!$A$2:$K$102,Formulas!J20,Formulas!K20+2),"")))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IFERROR(INDEX(Datos!$A$2:$K$102,Formulas!N19,RIGHT(Formulas!P19)+2),"")))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IFERROR(INDEX(Datos!$A$2:$K$102,Formulas!O20,Formulas!P20+2),"")))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IFERROR(INDEX(Datos!$A$2:$K$102,Formulas!S19,RIGHT(Formulas!U19)+2),"")))</f>
        <v>Madellyn Tasipanta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IFERROR(INDEX(Datos!$A$2:$K$102,Formulas!T20,Formulas!U20+2),"")))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IFERROR(INDEX(Datos!$A$2:$K$102,Formulas!X19,RIGHT(Formulas!Z19)+2),"")))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IFERROR(INDEX(Datos!$A$2:$K$102,Formulas!Y20,Formulas!Z20+2),"")))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IFERROR(INDEX(Datos!$A$2:$K$102,Formulas!AC19,RIGHT(Formulas!AE19)+2),"")))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IFERROR(INDEX(Datos!$A$2:$K$102,Formulas!AD20,Formulas!AE20+2),"")))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IFERROR(INDEX(Datos!$A$2:$K$102,Formulas!AH19,RIGHT(Formulas!AJ19)+2),"")))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IFERROR(INDEX(Datos!$A$2:$K$102,Formulas!AI20,Formulas!AJ20+2),"")))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IFERROR(INDEX(Datos!$A$2:$K$102,Formulas!AM19,RIGHT(Formulas!AO19)+2),"")))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IFERROR(INDEX(Datos!$A$2:$K$102,Formulas!AN20,Formulas!AO20+2),"")))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IFERROR(INDEX(Datos!$A$2:$K$102,Formulas!AR19,RIGHT(Formulas!AT19)+2),"")))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IFERROR(INDEX(Datos!$A$2:$K$102,Formulas!AS20,Formulas!AT20+2),"")))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IFERROR(INDEX(Datos!$A$2:$K$102,Formulas!AW19,RIGHT(Formulas!AY19)+2),"")))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IFERROR(INDEX(Datos!$A$2:$K$102,Formulas!AX20,Formulas!AY20+2),"")))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IFERROR(INDEX(Datos!$A$2:$K$102,Formulas!D20,RIGHT(Formulas!F20)+2),"")))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IFERROR(INDEX(Datos!$A$2:$K$102,Formulas!E21,Formulas!F21+2),"")))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IFERROR(INDEX(Datos!$A$2:$K$102,Formulas!I20,RIGHT(Formulas!K20)+2),"")))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IFERROR(INDEX(Datos!$A$2:$K$102,Formulas!J21,Formulas!K21+2),"")))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IFERROR(INDEX(Datos!$A$2:$K$102,Formulas!N20,RIGHT(Formulas!P20)+2),"")))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IFERROR(INDEX(Datos!$A$2:$K$102,Formulas!O21,Formulas!P21+2),"")))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IFERROR(INDEX(Datos!$A$2:$K$102,Formulas!S20,RIGHT(Formulas!U20)+2),"")))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IFERROR(INDEX(Datos!$A$2:$K$102,Formulas!T21,Formulas!U21+2),"")))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IFERROR(INDEX(Datos!$A$2:$K$102,Formulas!X20,RIGHT(Formulas!Z20)+2),"")))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IFERROR(INDEX(Datos!$A$2:$K$102,Formulas!Y21,Formulas!Z21+2),"")))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IFERROR(INDEX(Datos!$A$2:$K$102,Formulas!AC20,RIGHT(Formulas!AE20)+2),"")))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IFERROR(INDEX(Datos!$A$2:$K$102,Formulas!AD21,Formulas!AE21+2),"")))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IFERROR(INDEX(Datos!$A$2:$K$102,Formulas!AH20,RIGHT(Formulas!AJ20)+2),"")))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IFERROR(INDEX(Datos!$A$2:$K$102,Formulas!AI21,Formulas!AJ21+2),"")))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IFERROR(INDEX(Datos!$A$2:$K$102,Formulas!AM20,RIGHT(Formulas!AO20)+2),"")))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IFERROR(INDEX(Datos!$A$2:$K$102,Formulas!AN21,Formulas!AO21+2),"")))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IFERROR(INDEX(Datos!$A$2:$K$102,Formulas!AR20,RIGHT(Formulas!AT20)+2),"")))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IFERROR(INDEX(Datos!$A$2:$K$102,Formulas!AS21,Formulas!AT21+2),"")))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IFERROR(INDEX(Datos!$A$2:$K$102,Formulas!AW20,RIGHT(Formulas!AY20)+2),"")))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IFERROR(INDEX(Datos!$A$2:$K$102,Formulas!AX21,Formulas!AY21+2),"")))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IFERROR(INDEX(Datos!$A$2:$K$102,Formulas!D21,RIGHT(Formulas!F21)+2),"")))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IFERROR(INDEX(Datos!$A$2:$K$102,Formulas!E22,Formulas!F22+2),"")))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67: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IFERROR(INDEX(Datos!$A$2:$K$102,Formulas!I21,RIGHT(Formulas!K21)+2),"")))</f>
        <v>REQ008-1 Obtener y Modelar Datos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IFERROR(INDEX(Datos!$A$2:$K$102,Formulas!J22,Formulas!K22+2),"")))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IFERROR(INDEX(Datos!$A$2:$K$102,Formulas!N21,RIGHT(Formulas!P21)+2),"")))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IFERROR(INDEX(Datos!$A$2:$K$102,Formulas!O22,Formulas!P22+2),"")))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56: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IFERROR(INDEX(Datos!$A$2:$K$102,Formulas!S21,RIGHT(Formulas!U21)+2),"")))</f>
        <v>REQ006-2 Mostrar mensaje de confirmación antes de eliminar.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IFERROR(INDEX(Datos!$A$2:$K$102,Formulas!T22,Formulas!U22+2),"")))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IFERROR(INDEX(Datos!$A$2:$K$102,Formulas!X21,RIGHT(Formulas!Z21)+2),"")))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IFERROR(INDEX(Datos!$A$2:$K$102,Formulas!Y22,Formulas!Z22+2),"")))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IFERROR(INDEX(Datos!$A$2:$K$102,Formulas!AC21,RIGHT(Formulas!AE21)+2),"")))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IFERROR(INDEX(Datos!$A$2:$K$102,Formulas!AD22,Formulas!AE22+2),"")))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IFERROR(INDEX(Datos!$A$2:$K$102,Formulas!AH21,RIGHT(Formulas!AJ21)+2),"")))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IFERROR(INDEX(Datos!$A$2:$K$102,Formulas!AI22,Formulas!AJ22+2),"")))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IFERROR(INDEX(Datos!$A$2:$K$102,Formulas!AM21,RIGHT(Formulas!AO21)+2),"")))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IFERROR(INDEX(Datos!$A$2:$K$102,Formulas!AN22,Formulas!AO22+2),"")))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IFERROR(INDEX(Datos!$A$2:$K$102,Formulas!AR21,RIGHT(Formulas!AT21)+2),"")))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IFERROR(INDEX(Datos!$A$2:$K$102,Formulas!AS22,Formulas!AT22+2),"")))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IFERROR(INDEX(Datos!$A$2:$K$102,Formulas!AW21,RIGHT(Formulas!AY21)+2),"")))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IFERROR(INDEX(Datos!$A$2:$K$102,Formulas!AX22,Formulas!AY22+2),"")))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IFERROR(INDEX(Datos!$A$2:$K$102,Formulas!D22,RIGHT(Formulas!F22)+2),"")))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IFERROR(INDEX(Datos!$A$2:$K$102,Formulas!E23,Formulas!F23+2),"")))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IFERROR(INDEX(Datos!$A$2:$K$102,Formulas!I22,RIGHT(Formulas!K22)+2),"")))</f>
        <v>0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IFERROR(INDEX(Datos!$A$2:$K$102,Formulas!J23,Formulas!K23+2),"")))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IFERROR(INDEX(Datos!$A$2:$K$102,Formulas!N22,RIGHT(Formulas!P22)+2),"")))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IFERROR(INDEX(Datos!$A$2:$K$102,Formulas!O23,Formulas!P23+2),"")))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IFERROR(INDEX(Datos!$A$2:$K$102,Formulas!S22,RIGHT(Formulas!U22)+2),"")))</f>
        <v>Mensaje de contrato eliminado.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IFERROR(INDEX(Datos!$A$2:$K$102,Formulas!T23,Formulas!U23+2),"")))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IFERROR(INDEX(Datos!$A$2:$K$102,Formulas!X22,RIGHT(Formulas!Z22)+2),"")))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IFERROR(INDEX(Datos!$A$2:$K$102,Formulas!Y23,Formulas!Z23+2),"")))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IFERROR(INDEX(Datos!$A$2:$K$102,Formulas!AC22,RIGHT(Formulas!AE22)+2),"")))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IFERROR(INDEX(Datos!$A$2:$K$102,Formulas!AD23,Formulas!AE23+2),"")))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IFERROR(INDEX(Datos!$A$2:$K$102,Formulas!AH22,RIGHT(Formulas!AJ22)+2),"")))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IFERROR(INDEX(Datos!$A$2:$K$102,Formulas!AI23,Formulas!AJ23+2),"")))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IFERROR(INDEX(Datos!$A$2:$K$102,Formulas!AM22,RIGHT(Formulas!AO22)+2),"")))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IFERROR(INDEX(Datos!$A$2:$K$102,Formulas!AN23,Formulas!AO23+2),"")))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IFERROR(INDEX(Datos!$A$2:$K$102,Formulas!AR22,RIGHT(Formulas!AT22)+2),"")))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IFERROR(INDEX(Datos!$A$2:$K$102,Formulas!AS23,Formulas!AT23+2),"")))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IFERROR(INDEX(Datos!$A$2:$K$102,Formulas!AW22,RIGHT(Formulas!AY22)+2),"")))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IFERROR(INDEX(Datos!$A$2:$K$102,Formulas!AX23,Formulas!AY23+2),"")))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IFERROR(INDEX(Datos!$A$2:$K$102,Formulas!D23,RIGHT(Formulas!F23)+2),"")))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IFERROR(INDEX(Datos!$A$2:$K$102,Formulas!E24,Formulas!F24+2),"")))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IFERROR(INDEX(Datos!$A$2:$K$102,Formulas!I23,RIGHT(Formulas!K23)+2),"")))</f>
        <v>46036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IFERROR(INDEX(Datos!$A$2:$K$102,Formulas!J24,Formulas!K24+2),"")))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IFERROR(INDEX(Datos!$A$2:$K$102,Formulas!N23,RIGHT(Formulas!P23)+2),"")))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IFERROR(INDEX(Datos!$A$2:$K$102,Formulas!O24,Formulas!P24+2),"")))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IFERROR(INDEX(Datos!$A$2:$K$102,Formulas!S23,RIGHT(Formulas!U23)+2),"")))</f>
        <v>45994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IFERROR(INDEX(Datos!$A$2:$K$102,Formulas!T24,Formulas!U24+2),"")))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IFERROR(INDEX(Datos!$A$2:$K$102,Formulas!X23,RIGHT(Formulas!Z23)+2),"")))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IFERROR(INDEX(Datos!$A$2:$K$102,Formulas!Y24,Formulas!Z24+2),"")))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IFERROR(INDEX(Datos!$A$2:$K$102,Formulas!AC23,RIGHT(Formulas!AE23)+2),"")))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IFERROR(INDEX(Datos!$A$2:$K$102,Formulas!AD24,Formulas!AE24+2),"")))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IFERROR(INDEX(Datos!$A$2:$K$102,Formulas!AH23,RIGHT(Formulas!AJ23)+2),"")))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IFERROR(INDEX(Datos!$A$2:$K$102,Formulas!AI24,Formulas!AJ24+2),"")))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IFERROR(INDEX(Datos!$A$2:$K$102,Formulas!AM23,RIGHT(Formulas!AO23)+2),"")))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IFERROR(INDEX(Datos!$A$2:$K$102,Formulas!AN24,Formulas!AO24+2),"")))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IFERROR(INDEX(Datos!$A$2:$K$102,Formulas!AR23,RIGHT(Formulas!AT23)+2),"")))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IFERROR(INDEX(Datos!$A$2:$K$102,Formulas!AS24,Formulas!AT24+2),"")))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IFERROR(INDEX(Datos!$A$2:$K$102,Formulas!AW23,RIGHT(Formulas!AY23)+2),"")))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IFERROR(INDEX(Datos!$A$2:$K$102,Formulas!AX24,Formulas!AY24+2),"")))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IFERROR(INDEX(Datos!$A$2:$K$102,Formulas!D24,RIGHT(Formulas!F24)+2),"")))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IFERROR(INDEX(Datos!$A$2:$K$102,Formulas!E25,Formulas!F25+2),"")))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IFERROR(INDEX(Datos!$A$2:$K$102,Formulas!I24,RIGHT(Formulas!K24)+2),"")))</f>
        <v>46050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IFERROR(INDEX(Datos!$A$2:$K$102,Formulas!J25,Formulas!K25+2),"")))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IFERROR(INDEX(Datos!$A$2:$K$102,Formulas!N24,RIGHT(Formulas!P24)+2),"")))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IFERROR(INDEX(Datos!$A$2:$K$102,Formulas!O25,Formulas!P25+2),"")))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IFERROR(INDEX(Datos!$A$2:$K$102,Formulas!S24,RIGHT(Formulas!U24)+2),"")))</f>
        <v>45999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IFERROR(INDEX(Datos!$A$2:$K$102,Formulas!T25,Formulas!U25+2),"")))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IFERROR(INDEX(Datos!$A$2:$K$102,Formulas!X24,RIGHT(Formulas!Z24)+2),"")))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IFERROR(INDEX(Datos!$A$2:$K$102,Formulas!Y25,Formulas!Z25+2),"")))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IFERROR(INDEX(Datos!$A$2:$K$102,Formulas!AC24,RIGHT(Formulas!AE24)+2),"")))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IFERROR(INDEX(Datos!$A$2:$K$102,Formulas!AD25,Formulas!AE25+2),"")))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IFERROR(INDEX(Datos!$A$2:$K$102,Formulas!AH24,RIGHT(Formulas!AJ24)+2),"")))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IFERROR(INDEX(Datos!$A$2:$K$102,Formulas!AI25,Formulas!AJ25+2),"")))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IFERROR(INDEX(Datos!$A$2:$K$102,Formulas!AM24,RIGHT(Formulas!AO24)+2),"")))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IFERROR(INDEX(Datos!$A$2:$K$102,Formulas!AN25,Formulas!AO25+2),"")))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IFERROR(INDEX(Datos!$A$2:$K$102,Formulas!AR24,RIGHT(Formulas!AT24)+2),"")))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IFERROR(INDEX(Datos!$A$2:$K$102,Formulas!AS25,Formulas!AT25+2),"")))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IFERROR(INDEX(Datos!$A$2:$K$102,Formulas!AW24,RIGHT(Formulas!AY24)+2),"")))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IFERROR(INDEX(Datos!$A$2:$K$102,Formulas!AX25,Formulas!AY25+2),"")))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IFERROR(INDEX(Datos!$A$2:$K$102,Formulas!D25,RIGHT(Formulas!F25)+2),"")))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IFERROR(INDEX(Datos!$A$2:$K$102,Formulas!E26,Formulas!F26+2),"")))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IFERROR(INDEX(Datos!$A$2:$K$102,Formulas!I25,RIGHT(Formulas!K25)+2),"")))</f>
        <v>46043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IFERROR(INDEX(Datos!$A$2:$K$102,Formulas!J26,Formulas!K26+2),"")))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IFERROR(INDEX(Datos!$A$2:$K$102,Formulas!N25,RIGHT(Formulas!P25)+2),"")))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IFERROR(INDEX(Datos!$A$2:$K$102,Formulas!O26,Formulas!P26+2),"")))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IFERROR(INDEX(Datos!$A$2:$K$102,Formulas!S25,RIGHT(Formulas!U25)+2),"")))</f>
        <v>45999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IFERROR(INDEX(Datos!$A$2:$K$102,Formulas!T26,Formulas!U26+2),"")))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IFERROR(INDEX(Datos!$A$2:$K$102,Formulas!X25,RIGHT(Formulas!Z25)+2),"")))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IFERROR(INDEX(Datos!$A$2:$K$102,Formulas!Y26,Formulas!Z26+2),"")))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IFERROR(INDEX(Datos!$A$2:$K$102,Formulas!AC25,RIGHT(Formulas!AE25)+2),"")))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IFERROR(INDEX(Datos!$A$2:$K$102,Formulas!AD26,Formulas!AE26+2),"")))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IFERROR(INDEX(Datos!$A$2:$K$102,Formulas!AH25,RIGHT(Formulas!AJ25)+2),"")))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IFERROR(INDEX(Datos!$A$2:$K$102,Formulas!AI26,Formulas!AJ26+2),"")))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IFERROR(INDEX(Datos!$A$2:$K$102,Formulas!AM25,RIGHT(Formulas!AO25)+2),"")))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IFERROR(INDEX(Datos!$A$2:$K$102,Formulas!AN26,Formulas!AO26+2),"")))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IFERROR(INDEX(Datos!$A$2:$K$102,Formulas!AR25,RIGHT(Formulas!AT25)+2),"")))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IFERROR(INDEX(Datos!$A$2:$K$102,Formulas!AS26,Formulas!AT26+2),"")))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IFERROR(INDEX(Datos!$A$2:$K$102,Formulas!AW25,RIGHT(Formulas!AY25)+2),"")))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IFERROR(INDEX(Datos!$A$2:$K$102,Formulas!AX26,Formulas!AY26+2),"")))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IFERROR(INDEX(Datos!$A$2:$K$102,Formulas!D26,RIGHT(Formulas!F26)+2),"")))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IFERROR(INDEX(Datos!$A$2:$K$102,Formulas!E27,Formulas!F27+2),"")))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IFERROR(INDEX(Datos!$A$2:$K$102,Formulas!I26,RIGHT(Formulas!K26)+2),"")))</f>
        <v>8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IFERROR(INDEX(Datos!$A$2:$K$102,Formulas!J27,Formulas!K27+2),"")))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IFERROR(INDEX(Datos!$A$2:$K$102,Formulas!N26,RIGHT(Formulas!P26)+2),"")))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IFERROR(INDEX(Datos!$A$2:$K$102,Formulas!O27,Formulas!P27+2),"")))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IFERROR(INDEX(Datos!$A$2:$K$102,Formulas!S26,RIGHT(Formulas!U26)+2),"")))</f>
        <v>6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IFERROR(INDEX(Datos!$A$2:$K$102,Formulas!T27,Formulas!U27+2),"")))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IFERROR(INDEX(Datos!$A$2:$K$102,Formulas!X26,RIGHT(Formulas!Z26)+2),"")))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IFERROR(INDEX(Datos!$A$2:$K$102,Formulas!Y27,Formulas!Z27+2),"")))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IFERROR(INDEX(Datos!$A$2:$K$102,Formulas!AC26,RIGHT(Formulas!AE26)+2),"")))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IFERROR(INDEX(Datos!$A$2:$K$102,Formulas!AD27,Formulas!AE27+2),"")))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IFERROR(INDEX(Datos!$A$2:$K$102,Formulas!AH26,RIGHT(Formulas!AJ26)+2),"")))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IFERROR(INDEX(Datos!$A$2:$K$102,Formulas!AI27,Formulas!AJ27+2),"")))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IFERROR(INDEX(Datos!$A$2:$K$102,Formulas!AM26,RIGHT(Formulas!AO26)+2),"")))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IFERROR(INDEX(Datos!$A$2:$K$102,Formulas!AN27,Formulas!AO27+2),"")))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IFERROR(INDEX(Datos!$A$2:$K$102,Formulas!AR26,RIGHT(Formulas!AT26)+2),"")))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IFERROR(INDEX(Datos!$A$2:$K$102,Formulas!AS27,Formulas!AT27+2),"")))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IFERROR(INDEX(Datos!$A$2:$K$102,Formulas!AW26,RIGHT(Formulas!AY26)+2),"")))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IFERROR(INDEX(Datos!$A$2:$K$102,Formulas!AX27,Formulas!AY27+2),"")))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IFERROR(INDEX(Datos!$A$2:$K$102,Formulas!D27,RIGHT(Formulas!F27)+2),"")))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IFERROR(INDEX(Datos!$A$2:$K$102,Formulas!E28,Formulas!F28+2),"")))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IFERROR(INDEX(Datos!$A$2:$K$102,Formulas!I27,RIGHT(Formulas!K27)+2),"")))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IFERROR(INDEX(Datos!$A$2:$K$102,Formulas!J28,Formulas!K28+2),"")))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IFERROR(INDEX(Datos!$A$2:$K$102,Formulas!N27,RIGHT(Formulas!P27)+2),"")))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IFERROR(INDEX(Datos!$A$2:$K$102,Formulas!O28,Formulas!P28+2),"")))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IFERROR(INDEX(Datos!$A$2:$K$102,Formulas!S27,RIGHT(Formulas!U27)+2),"")))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IFERROR(INDEX(Datos!$A$2:$K$102,Formulas!T28,Formulas!U28+2),"")))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IFERROR(INDEX(Datos!$A$2:$K$102,Formulas!X27,RIGHT(Formulas!Z27)+2),"")))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IFERROR(INDEX(Datos!$A$2:$K$102,Formulas!Y28,Formulas!Z28+2),"")))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IFERROR(INDEX(Datos!$A$2:$K$102,Formulas!AC27,RIGHT(Formulas!AE27)+2),"")))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IFERROR(INDEX(Datos!$A$2:$K$102,Formulas!AD28,Formulas!AE28+2),"")))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IFERROR(INDEX(Datos!$A$2:$K$102,Formulas!AH27,RIGHT(Formulas!AJ27)+2),"")))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IFERROR(INDEX(Datos!$A$2:$K$102,Formulas!AI28,Formulas!AJ28+2),"")))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IFERROR(INDEX(Datos!$A$2:$K$102,Formulas!AM27,RIGHT(Formulas!AO27)+2),"")))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IFERROR(INDEX(Datos!$A$2:$K$102,Formulas!AN28,Formulas!AO28+2),"")))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IFERROR(INDEX(Datos!$A$2:$K$102,Formulas!AR27,RIGHT(Formulas!AT27)+2),"")))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IFERROR(INDEX(Datos!$A$2:$K$102,Formulas!AS28,Formulas!AT28+2),"")))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IFERROR(INDEX(Datos!$A$2:$K$102,Formulas!AW27,RIGHT(Formulas!AY27)+2),"")))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IFERROR(INDEX(Datos!$A$2:$K$102,Formulas!AX28,Formulas!AY28+2),"")))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IFERROR(INDEX(Datos!$A$2:$K$102,Formulas!D28,RIGHT(Formulas!F28)+2),"")))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IFERROR(INDEX(Datos!$A$2:$K$102,Formulas!E29,Formulas!F29+2),"")))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IFERROR(INDEX(Datos!$A$2:$K$102,Formulas!I28,RIGHT(Formulas!K28)+2),"")))</f>
        <v>Madellyn Tasipanta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IFERROR(INDEX(Datos!$A$2:$K$102,Formulas!J29,Formulas!K29+2),"")))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IFERROR(INDEX(Datos!$A$2:$K$102,Formulas!N28,RIGHT(Formulas!P28)+2),"")))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IFERROR(INDEX(Datos!$A$2:$K$102,Formulas!O29,Formulas!P29+2),"")))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IFERROR(INDEX(Datos!$A$2:$K$102,Formulas!S28,RIGHT(Formulas!U28)+2),"")))</f>
        <v>Luis Calle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IFERROR(INDEX(Datos!$A$2:$K$102,Formulas!T29,Formulas!U29+2),"")))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IFERROR(INDEX(Datos!$A$2:$K$102,Formulas!X28,RIGHT(Formulas!Z28)+2),"")))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IFERROR(INDEX(Datos!$A$2:$K$102,Formulas!Y29,Formulas!Z29+2),"")))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IFERROR(INDEX(Datos!$A$2:$K$102,Formulas!AC28,RIGHT(Formulas!AE28)+2),"")))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IFERROR(INDEX(Datos!$A$2:$K$102,Formulas!AD29,Formulas!AE29+2),"")))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IFERROR(INDEX(Datos!$A$2:$K$102,Formulas!AH28,RIGHT(Formulas!AJ28)+2),"")))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IFERROR(INDEX(Datos!$A$2:$K$102,Formulas!AI29,Formulas!AJ29+2),"")))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IFERROR(INDEX(Datos!$A$2:$K$102,Formulas!AM28,RIGHT(Formulas!AO28)+2),"")))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IFERROR(INDEX(Datos!$A$2:$K$102,Formulas!AN29,Formulas!AO29+2),"")))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IFERROR(INDEX(Datos!$A$2:$K$102,Formulas!AR28,RIGHT(Formulas!AT28)+2),"")))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IFERROR(INDEX(Datos!$A$2:$K$102,Formulas!AS29,Formulas!AT29+2),"")))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IFERROR(INDEX(Datos!$A$2:$K$102,Formulas!AW28,RIGHT(Formulas!AY28)+2),"")))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IFERROR(INDEX(Datos!$A$2:$K$102,Formulas!AX29,Formulas!AY29+2),"")))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IFERROR(INDEX(Datos!$A$2:$K$102,Formulas!D29,RIGHT(Formulas!F29)+2),"")))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IFERROR(INDEX(Datos!$A$2:$K$102,Formulas!E30,Formulas!F30+2),"")))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IFERROR(INDEX(Datos!$A$2:$K$102,Formulas!I29,RIGHT(Formulas!K29)+2),"")))</f>
        <v/>
      </c>
      <c r="J32" s="113" t="e" cm="1">
        <f t="array" aca="1" ref="J32" ca="1">IF(OR(Formulas!K30=0,Formulas!K30=""),"",HYPERLINK("["&amp;Archivo_Nombre&amp;"]Datos!"&amp;LEFT(SUBSTITUTE(ADDRESS(1,Formulas!K30+2),"$",""))&amp;Formulas!J30+1,
IFERROR(INDEX(Datos!$A$2:$K$102,Formulas!J30,Formulas!K30+2),"")))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IFERROR(INDEX(Datos!$A$2:$K$102,Formulas!N29,RIGHT(Formulas!P29)+2),"")))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IFERROR(INDEX(Datos!$A$2:$K$102,Formulas!O30,Formulas!P30+2),"")))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IFERROR(INDEX(Datos!$A$2:$K$102,Formulas!S29,RIGHT(Formulas!U29)+2),"")))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IFERROR(INDEX(Datos!$A$2:$K$102,Formulas!T30,Formulas!U30+2),"")))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IFERROR(INDEX(Datos!$A$2:$K$102,Formulas!X29,RIGHT(Formulas!Z29)+2),"")))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IFERROR(INDEX(Datos!$A$2:$K$102,Formulas!Y30,Formulas!Z30+2),"")))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IFERROR(INDEX(Datos!$A$2:$K$102,Formulas!AC29,RIGHT(Formulas!AE29)+2),"")))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IFERROR(INDEX(Datos!$A$2:$K$102,Formulas!AD30,Formulas!AE30+2),"")))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IFERROR(INDEX(Datos!$A$2:$K$102,Formulas!AH29,RIGHT(Formulas!AJ29)+2),"")))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IFERROR(INDEX(Datos!$A$2:$K$102,Formulas!AI30,Formulas!AJ30+2),"")))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IFERROR(INDEX(Datos!$A$2:$K$102,Formulas!AM29,RIGHT(Formulas!AO29)+2),"")))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IFERROR(INDEX(Datos!$A$2:$K$102,Formulas!AN30,Formulas!AO30+2),"")))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IFERROR(INDEX(Datos!$A$2:$K$102,Formulas!AR29,RIGHT(Formulas!AT29)+2),"")))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IFERROR(INDEX(Datos!$A$2:$K$102,Formulas!AS30,Formulas!AT30+2),"")))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IFERROR(INDEX(Datos!$A$2:$K$102,Formulas!AW29,RIGHT(Formulas!AY29)+2),"")))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IFERROR(INDEX(Datos!$A$2:$K$102,Formulas!AX30,Formulas!AY30+2),"")))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IFERROR(INDEX(Datos!$A$2:$K$102,Formulas!D30,RIGHT(Formulas!F30)+2),"")))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IFERROR(INDEX(Datos!$A$2:$K$102,Formulas!E31,Formulas!F31+2),"")))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66:</v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IFERROR(INDEX(Datos!$A$2:$K$102,Formulas!I30,RIGHT(Formulas!K30)+2),"")))</f>
        <v>REQ008 Exportar Contratos</v>
      </c>
      <c r="J33" s="113" t="e" cm="1">
        <f t="array" aca="1" ref="J33" ca="1">IF(OR(Formulas!K31=0,Formulas!K31=""),"",HYPERLINK("["&amp;Archivo_Nombre&amp;"]Datos!"&amp;LEFT(SUBSTITUTE(ADDRESS(1,Formulas!K31+2),"$",""))&amp;Formulas!J31+1,
IFERROR(INDEX(Datos!$A$2:$K$102,Formulas!J31,Formulas!K31+2),"")))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IFERROR(INDEX(Datos!$A$2:$K$102,Formulas!N30,RIGHT(Formulas!P30)+2),"")))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IFERROR(INDEX(Datos!$A$2:$K$102,Formulas!O31,Formulas!P31+2),"")))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55: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IFERROR(INDEX(Datos!$A$2:$K$102,Formulas!S30,RIGHT(Formulas!U30)+2),"")))</f>
        <v>REQ006-1Permitir seleccionar un contrato desde la interfaz.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IFERROR(INDEX(Datos!$A$2:$K$102,Formulas!T31,Formulas!U31+2),"")))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IFERROR(INDEX(Datos!$A$2:$K$102,Formulas!X30,RIGHT(Formulas!Z30)+2),"")))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IFERROR(INDEX(Datos!$A$2:$K$102,Formulas!Y31,Formulas!Z31+2),"")))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IFERROR(INDEX(Datos!$A$2:$K$102,Formulas!AC30,RIGHT(Formulas!AE30)+2),"")))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IFERROR(INDEX(Datos!$A$2:$K$102,Formulas!AD31,Formulas!AE31+2),"")))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IFERROR(INDEX(Datos!$A$2:$K$102,Formulas!AH30,RIGHT(Formulas!AJ30)+2),"")))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IFERROR(INDEX(Datos!$A$2:$K$102,Formulas!AI31,Formulas!AJ31+2),"")))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IFERROR(INDEX(Datos!$A$2:$K$102,Formulas!AM30,RIGHT(Formulas!AO30)+2),"")))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IFERROR(INDEX(Datos!$A$2:$K$102,Formulas!AN31,Formulas!AO31+2),"")))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IFERROR(INDEX(Datos!$A$2:$K$102,Formulas!AR30,RIGHT(Formulas!AT30)+2),"")))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IFERROR(INDEX(Datos!$A$2:$K$102,Formulas!AS31,Formulas!AT31+2),"")))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IFERROR(INDEX(Datos!$A$2:$K$102,Formulas!AW30,RIGHT(Formulas!AY30)+2),"")))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IFERROR(INDEX(Datos!$A$2:$K$102,Formulas!AX31,Formulas!AY31+2),"")))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IFERROR(INDEX(Datos!$A$2:$K$102,Formulas!D31,RIGHT(Formulas!F31)+2),"")))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IFERROR(INDEX(Datos!$A$2:$K$102,Formulas!E32,Formulas!F32+2),"")))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3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IFERROR(INDEX(Datos!$A$2:$K$102,Formulas!I31,RIGHT(Formulas!K31)+2),"")))</f>
        <v>0</v>
      </c>
      <c r="J34" s="113" t="e" cm="1">
        <f t="array" aca="1" ref="J34" ca="1">IF(OR(Formulas!K32=0,Formulas!K32=""),"",HYPERLINK("["&amp;Archivo_Nombre&amp;"]Datos!"&amp;LEFT(SUBSTITUTE(ADDRESS(1,Formulas!K32+2),"$",""))&amp;Formulas!J32+1,
IFERROR(INDEX(Datos!$A$2:$K$102,Formulas!J32,Formulas!K32+2),"")))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IFERROR(INDEX(Datos!$A$2:$K$102,Formulas!N31,RIGHT(Formulas!P31)+2),"")))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IFERROR(INDEX(Datos!$A$2:$K$102,Formulas!O32,Formulas!P32+2),"")))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IFERROR(INDEX(Datos!$A$2:$K$102,Formulas!S31,RIGHT(Formulas!U31)+2),"")))</f>
        <v>Implementar boton de seleccion a un contrato.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IFERROR(INDEX(Datos!$A$2:$K$102,Formulas!T32,Formulas!U32+2),"")))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IFERROR(INDEX(Datos!$A$2:$K$102,Formulas!X31,RIGHT(Formulas!Z31)+2),"")))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IFERROR(INDEX(Datos!$A$2:$K$102,Formulas!Y32,Formulas!Z32+2),"")))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IFERROR(INDEX(Datos!$A$2:$K$102,Formulas!AC31,RIGHT(Formulas!AE31)+2),"")))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IFERROR(INDEX(Datos!$A$2:$K$102,Formulas!AD32,Formulas!AE32+2),"")))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IFERROR(INDEX(Datos!$A$2:$K$102,Formulas!AH31,RIGHT(Formulas!AJ31)+2),"")))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IFERROR(INDEX(Datos!$A$2:$K$102,Formulas!AI32,Formulas!AJ32+2),"")))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IFERROR(INDEX(Datos!$A$2:$K$102,Formulas!AM31,RIGHT(Formulas!AO31)+2),"")))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IFERROR(INDEX(Datos!$A$2:$K$102,Formulas!AN32,Formulas!AO32+2),"")))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IFERROR(INDEX(Datos!$A$2:$K$102,Formulas!AR31,RIGHT(Formulas!AT31)+2),"")))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IFERROR(INDEX(Datos!$A$2:$K$102,Formulas!AS32,Formulas!AT32+2),"")))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IFERROR(INDEX(Datos!$A$2:$K$102,Formulas!AW31,RIGHT(Formulas!AY31)+2),"")))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IFERROR(INDEX(Datos!$A$2:$K$102,Formulas!AX32,Formulas!AY32+2),"")))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IFERROR(INDEX(Datos!$A$2:$K$102,Formulas!D32,RIGHT(Formulas!F32)+2),"")))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IFERROR(INDEX(Datos!$A$2:$K$102,Formulas!E33,Formulas!F33+2),"")))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3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IFERROR(INDEX(Datos!$A$2:$K$102,Formulas!I32,RIGHT(Formulas!K32)+2),"")))</f>
        <v>46003</v>
      </c>
      <c r="J35" s="113" t="e" cm="1">
        <f t="array" aca="1" ref="J35" ca="1">IF(OR(Formulas!K33=0,Formulas!K33=""),"",HYPERLINK("["&amp;Archivo_Nombre&amp;"]Datos!"&amp;LEFT(SUBSTITUTE(ADDRESS(1,Formulas!K33+2),"$",""))&amp;Formulas!J33+1,
IFERROR(INDEX(Datos!$A$2:$K$102,Formulas!J33,Formulas!K33+2),"")))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IFERROR(INDEX(Datos!$A$2:$K$102,Formulas!N32,RIGHT(Formulas!P32)+2),"")))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IFERROR(INDEX(Datos!$A$2:$K$102,Formulas!O33,Formulas!P33+2),"")))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IFERROR(INDEX(Datos!$A$2:$K$102,Formulas!S32,RIGHT(Formulas!U32)+2),"")))</f>
        <v>45994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IFERROR(INDEX(Datos!$A$2:$K$102,Formulas!T33,Formulas!U33+2),"")))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IFERROR(INDEX(Datos!$A$2:$K$102,Formulas!X32,RIGHT(Formulas!Z32)+2),"")))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IFERROR(INDEX(Datos!$A$2:$K$102,Formulas!Y33,Formulas!Z33+2),"")))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IFERROR(INDEX(Datos!$A$2:$K$102,Formulas!AC32,RIGHT(Formulas!AE32)+2),"")))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IFERROR(INDEX(Datos!$A$2:$K$102,Formulas!AD33,Formulas!AE33+2),"")))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IFERROR(INDEX(Datos!$A$2:$K$102,Formulas!AH32,RIGHT(Formulas!AJ32)+2),"")))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IFERROR(INDEX(Datos!$A$2:$K$102,Formulas!AI33,Formulas!AJ33+2),"")))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IFERROR(INDEX(Datos!$A$2:$K$102,Formulas!AM32,RIGHT(Formulas!AO32)+2),"")))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IFERROR(INDEX(Datos!$A$2:$K$102,Formulas!AN33,Formulas!AO33+2),"")))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IFERROR(INDEX(Datos!$A$2:$K$102,Formulas!AR32,RIGHT(Formulas!AT32)+2),"")))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IFERROR(INDEX(Datos!$A$2:$K$102,Formulas!AS33,Formulas!AT33+2),"")))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IFERROR(INDEX(Datos!$A$2:$K$102,Formulas!AW32,RIGHT(Formulas!AY32)+2),"")))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IFERROR(INDEX(Datos!$A$2:$K$102,Formulas!AX33,Formulas!AY33+2),"")))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IFERROR(INDEX(Datos!$A$2:$K$102,Formulas!D33,RIGHT(Formulas!F33)+2),"")))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IFERROR(INDEX(Datos!$A$2:$K$102,Formulas!E34,Formulas!F34+2),"")))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3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IFERROR(INDEX(Datos!$A$2:$K$102,Formulas!I33,RIGHT(Formulas!K33)+2),"")))</f>
        <v>46043</v>
      </c>
      <c r="J36" s="113" t="e" cm="1">
        <f t="array" aca="1" ref="J36" ca="1">IF(OR(Formulas!K34=0,Formulas!K34=""),"",HYPERLINK("["&amp;Archivo_Nombre&amp;"]Datos!"&amp;LEFT(SUBSTITUTE(ADDRESS(1,Formulas!K34+2),"$",""))&amp;Formulas!J34+1,
IFERROR(INDEX(Datos!$A$2:$K$102,Formulas!J34,Formulas!K34+2),"")))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IFERROR(INDEX(Datos!$A$2:$K$102,Formulas!N33,RIGHT(Formulas!P33)+2),"")))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IFERROR(INDEX(Datos!$A$2:$K$102,Formulas!O34,Formulas!P34+2),"")))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IFERROR(INDEX(Datos!$A$2:$K$102,Formulas!S33,RIGHT(Formulas!U33)+2),"")))</f>
        <v>45999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IFERROR(INDEX(Datos!$A$2:$K$102,Formulas!T34,Formulas!U34+2),"")))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IFERROR(INDEX(Datos!$A$2:$K$102,Formulas!X33,RIGHT(Formulas!Z33)+2),"")))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IFERROR(INDEX(Datos!$A$2:$K$102,Formulas!Y34,Formulas!Z34+2),"")))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IFERROR(INDEX(Datos!$A$2:$K$102,Formulas!AC33,RIGHT(Formulas!AE33)+2),"")))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IFERROR(INDEX(Datos!$A$2:$K$102,Formulas!AD34,Formulas!AE34+2),"")))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IFERROR(INDEX(Datos!$A$2:$K$102,Formulas!AH33,RIGHT(Formulas!AJ33)+2),"")))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IFERROR(INDEX(Datos!$A$2:$K$102,Formulas!AI34,Formulas!AJ34+2),"")))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IFERROR(INDEX(Datos!$A$2:$K$102,Formulas!AM33,RIGHT(Formulas!AO33)+2),"")))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IFERROR(INDEX(Datos!$A$2:$K$102,Formulas!AN34,Formulas!AO34+2),"")))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IFERROR(INDEX(Datos!$A$2:$K$102,Formulas!AR33,RIGHT(Formulas!AT33)+2),"")))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IFERROR(INDEX(Datos!$A$2:$K$102,Formulas!AS34,Formulas!AT34+2),"")))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IFERROR(INDEX(Datos!$A$2:$K$102,Formulas!AW33,RIGHT(Formulas!AY33)+2),"")))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IFERROR(INDEX(Datos!$A$2:$K$102,Formulas!AX34,Formulas!AY34+2),"")))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IFERROR(INDEX(Datos!$A$2:$K$102,Formulas!D34,RIGHT(Formulas!F34)+2),"")))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IFERROR(INDEX(Datos!$A$2:$K$102,Formulas!E35,Formulas!F35+2),"")))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3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IFERROR(INDEX(Datos!$A$2:$K$102,Formulas!I34,RIGHT(Formulas!K34)+2),"")))</f>
        <v>46043</v>
      </c>
      <c r="J37" s="113" t="e" cm="1">
        <f t="array" aca="1" ref="J37" ca="1">IF(OR(Formulas!K35=0,Formulas!K35=""),"",HYPERLINK("["&amp;Archivo_Nombre&amp;"]Datos!"&amp;LEFT(SUBSTITUTE(ADDRESS(1,Formulas!K35+2),"$",""))&amp;Formulas!J35+1,
IFERROR(INDEX(Datos!$A$2:$K$102,Formulas!J35,Formulas!K35+2),"")))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IFERROR(INDEX(Datos!$A$2:$K$102,Formulas!N34,RIGHT(Formulas!P34)+2),"")))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IFERROR(INDEX(Datos!$A$2:$K$102,Formulas!O35,Formulas!P35+2),"")))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IFERROR(INDEX(Datos!$A$2:$K$102,Formulas!S34,RIGHT(Formulas!U34)+2),"")))</f>
        <v>45999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IFERROR(INDEX(Datos!$A$2:$K$102,Formulas!T35,Formulas!U35+2),"")))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IFERROR(INDEX(Datos!$A$2:$K$102,Formulas!X34,RIGHT(Formulas!Z34)+2),"")))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IFERROR(INDEX(Datos!$A$2:$K$102,Formulas!Y35,Formulas!Z35+2),"")))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IFERROR(INDEX(Datos!$A$2:$K$102,Formulas!AC34,RIGHT(Formulas!AE34)+2),"")))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IFERROR(INDEX(Datos!$A$2:$K$102,Formulas!AD35,Formulas!AE35+2),"")))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IFERROR(INDEX(Datos!$A$2:$K$102,Formulas!AH34,RIGHT(Formulas!AJ34)+2),"")))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IFERROR(INDEX(Datos!$A$2:$K$102,Formulas!AI35,Formulas!AJ35+2),"")))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IFERROR(INDEX(Datos!$A$2:$K$102,Formulas!AM34,RIGHT(Formulas!AO34)+2),"")))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IFERROR(INDEX(Datos!$A$2:$K$102,Formulas!AN35,Formulas!AO35+2),"")))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IFERROR(INDEX(Datos!$A$2:$K$102,Formulas!AR34,RIGHT(Formulas!AT34)+2),"")))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IFERROR(INDEX(Datos!$A$2:$K$102,Formulas!AS35,Formulas!AT35+2),"")))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IFERROR(INDEX(Datos!$A$2:$K$102,Formulas!AW34,RIGHT(Formulas!AY34)+2),"")))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IFERROR(INDEX(Datos!$A$2:$K$102,Formulas!AX35,Formulas!AY35+2),"")))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IFERROR(INDEX(Datos!$A$2:$K$102,Formulas!D35,RIGHT(Formulas!F35)+2),"")))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IFERROR(INDEX(Datos!$A$2:$K$102,Formulas!E36,Formulas!F36+2),"")))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IFERROR(INDEX(Datos!$A$2:$K$102,Formulas!I35,RIGHT(Formulas!K35)+2),"")))</f>
        <v>41 días</v>
      </c>
      <c r="J38" s="113" t="e" cm="1">
        <f t="array" aca="1" ref="J38" ca="1">IF(OR(Formulas!K36=0,Formulas!K36=""),"",HYPERLINK("["&amp;Archivo_Nombre&amp;"]Datos!"&amp;LEFT(SUBSTITUTE(ADDRESS(1,Formulas!K36+2),"$",""))&amp;Formulas!J36+1,
IFERROR(INDEX(Datos!$A$2:$K$102,Formulas!J36,Formulas!K36+2),"")))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IFERROR(INDEX(Datos!$A$2:$K$102,Formulas!N35,RIGHT(Formulas!P35)+2),"")))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IFERROR(INDEX(Datos!$A$2:$K$102,Formulas!O36,Formulas!P36+2),"")))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IFERROR(INDEX(Datos!$A$2:$K$102,Formulas!S35,RIGHT(Formulas!U35)+2),"")))</f>
        <v>6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IFERROR(INDEX(Datos!$A$2:$K$102,Formulas!T36,Formulas!U36+2),"")))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IFERROR(INDEX(Datos!$A$2:$K$102,Formulas!X35,RIGHT(Formulas!Z35)+2),"")))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IFERROR(INDEX(Datos!$A$2:$K$102,Formulas!Y36,Formulas!Z36+2),"")))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IFERROR(INDEX(Datos!$A$2:$K$102,Formulas!AC35,RIGHT(Formulas!AE35)+2),"")))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IFERROR(INDEX(Datos!$A$2:$K$102,Formulas!AD36,Formulas!AE36+2),"")))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IFERROR(INDEX(Datos!$A$2:$K$102,Formulas!AH35,RIGHT(Formulas!AJ35)+2),"")))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IFERROR(INDEX(Datos!$A$2:$K$102,Formulas!AI36,Formulas!AJ36+2),"")))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IFERROR(INDEX(Datos!$A$2:$K$102,Formulas!AM35,RIGHT(Formulas!AO35)+2),"")))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IFERROR(INDEX(Datos!$A$2:$K$102,Formulas!AN36,Formulas!AO36+2),"")))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IFERROR(INDEX(Datos!$A$2:$K$102,Formulas!AR35,RIGHT(Formulas!AT35)+2),"")))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IFERROR(INDEX(Datos!$A$2:$K$102,Formulas!AS36,Formulas!AT36+2),"")))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IFERROR(INDEX(Datos!$A$2:$K$102,Formulas!AW35,RIGHT(Formulas!AY35)+2),"")))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IFERROR(INDEX(Datos!$A$2:$K$102,Formulas!AX36,Formulas!AY36+2),"")))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IFERROR(INDEX(Datos!$A$2:$K$102,Formulas!D36,RIGHT(Formulas!F36)+2),"")))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IFERROR(INDEX(Datos!$A$2:$K$102,Formulas!E37,Formulas!F37+2),"")))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IFERROR(INDEX(Datos!$A$2:$K$102,Formulas!I36,RIGHT(Formulas!K36)+2),"")))</f>
        <v>0 días</v>
      </c>
      <c r="J39" s="113" t="e" cm="1">
        <f t="array" aca="1" ref="J39" ca="1">IF(OR(Formulas!K37=0,Formulas!K37=""),"",HYPERLINK("["&amp;Archivo_Nombre&amp;"]Datos!"&amp;LEFT(SUBSTITUTE(ADDRESS(1,Formulas!K37+2),"$",""))&amp;Formulas!J37+1,
IFERROR(INDEX(Datos!$A$2:$K$102,Formulas!J37,Formulas!K37+2),"")))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IFERROR(INDEX(Datos!$A$2:$K$102,Formulas!N36,RIGHT(Formulas!P36)+2),"")))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IFERROR(INDEX(Datos!$A$2:$K$102,Formulas!O37,Formulas!P37+2),"")))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IFERROR(INDEX(Datos!$A$2:$K$102,Formulas!S36,RIGHT(Formulas!U36)+2),"")))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IFERROR(INDEX(Datos!$A$2:$K$102,Formulas!T37,Formulas!U37+2),"")))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IFERROR(INDEX(Datos!$A$2:$K$102,Formulas!X36,RIGHT(Formulas!Z36)+2),"")))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IFERROR(INDEX(Datos!$A$2:$K$102,Formulas!Y37,Formulas!Z37+2),"")))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IFERROR(INDEX(Datos!$A$2:$K$102,Formulas!AC36,RIGHT(Formulas!AE36)+2),"")))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IFERROR(INDEX(Datos!$A$2:$K$102,Formulas!AD37,Formulas!AE37+2),"")))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IFERROR(INDEX(Datos!$A$2:$K$102,Formulas!AH36,RIGHT(Formulas!AJ36)+2),"")))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IFERROR(INDEX(Datos!$A$2:$K$102,Formulas!AI37,Formulas!AJ37+2),"")))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IFERROR(INDEX(Datos!$A$2:$K$102,Formulas!AM36,RIGHT(Formulas!AO36)+2),"")))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IFERROR(INDEX(Datos!$A$2:$K$102,Formulas!AN37,Formulas!AO37+2),"")))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IFERROR(INDEX(Datos!$A$2:$K$102,Formulas!AR36,RIGHT(Formulas!AT36)+2),"")))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IFERROR(INDEX(Datos!$A$2:$K$102,Formulas!AS37,Formulas!AT37+2),"")))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IFERROR(INDEX(Datos!$A$2:$K$102,Formulas!AW36,RIGHT(Formulas!AY36)+2),"")))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IFERROR(INDEX(Datos!$A$2:$K$102,Formulas!AX37,Formulas!AY37+2),"")))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IFERROR(INDEX(Datos!$A$2:$K$102,Formulas!D37,RIGHT(Formulas!F37)+2),"")))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IFERROR(INDEX(Datos!$A$2:$K$102,Formulas!E38,Formulas!F38+2),"")))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IFERROR(INDEX(Datos!$A$2:$K$102,Formulas!I37,RIGHT(Formulas!K37)+2),"")))</f>
        <v>Madellyn Tasipanta</v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IFERROR(INDEX(Datos!$A$2:$K$102,Formulas!J38,Formulas!K38+2),"")))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IFERROR(INDEX(Datos!$A$2:$K$102,Formulas!N37,RIGHT(Formulas!P37)+2),"")))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IFERROR(INDEX(Datos!$A$2:$K$102,Formulas!O38,Formulas!P38+2),"")))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IFERROR(INDEX(Datos!$A$2:$K$102,Formulas!S37,RIGHT(Formulas!U37)+2),"")))</f>
        <v>Kevin Andino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IFERROR(INDEX(Datos!$A$2:$K$102,Formulas!T38,Formulas!U38+2),"")))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IFERROR(INDEX(Datos!$A$2:$K$102,Formulas!X37,RIGHT(Formulas!Z37)+2),"")))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IFERROR(INDEX(Datos!$A$2:$K$102,Formulas!Y38,Formulas!Z38+2),"")))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IFERROR(INDEX(Datos!$A$2:$K$102,Formulas!AC37,RIGHT(Formulas!AE37)+2),"")))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IFERROR(INDEX(Datos!$A$2:$K$102,Formulas!AD38,Formulas!AE38+2),"")))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IFERROR(INDEX(Datos!$A$2:$K$102,Formulas!AH37,RIGHT(Formulas!AJ37)+2),"")))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IFERROR(INDEX(Datos!$A$2:$K$102,Formulas!AI38,Formulas!AJ38+2),"")))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IFERROR(INDEX(Datos!$A$2:$K$102,Formulas!AM37,RIGHT(Formulas!AO37)+2),"")))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IFERROR(INDEX(Datos!$A$2:$K$102,Formulas!AN38,Formulas!AO38+2),"")))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IFERROR(INDEX(Datos!$A$2:$K$102,Formulas!AR37,RIGHT(Formulas!AT37)+2),"")))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IFERROR(INDEX(Datos!$A$2:$K$102,Formulas!AS38,Formulas!AT38+2),"")))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IFERROR(INDEX(Datos!$A$2:$K$102,Formulas!AW37,RIGHT(Formulas!AY37)+2),"")))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IFERROR(INDEX(Datos!$A$2:$K$102,Formulas!AX38,Formulas!AY38+2),"")))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IFERROR(INDEX(Datos!$A$2:$K$102,Formulas!D38,RIGHT(Formulas!F38)+2),"")))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IFERROR(INDEX(Datos!$A$2:$K$102,Formulas!E39,Formulas!F39+2),"")))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IFERROR(INDEX(Datos!$A$2:$K$102,Formulas!I38,RIGHT(Formulas!K38)+2),"")))</f>
        <v/>
      </c>
      <c r="J41" s="113" t="e" cm="1">
        <f t="array" aca="1" ref="J41" ca="1">IF(OR(Formulas!K39=0,Formulas!K39=""),"",HYPERLINK("["&amp;Archivo_Nombre&amp;"]Datos!"&amp;LEFT(SUBSTITUTE(ADDRESS(1,Formulas!K39+2),"$",""))&amp;Formulas!J39+1,
IFERROR(INDEX(Datos!$A$2:$K$102,Formulas!J39,Formulas!K39+2),"")))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IFERROR(INDEX(Datos!$A$2:$K$102,Formulas!N38,RIGHT(Formulas!P38)+2),"")))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IFERROR(INDEX(Datos!$A$2:$K$102,Formulas!O39,Formulas!P39+2),"")))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IFERROR(INDEX(Datos!$A$2:$K$102,Formulas!S38,RIGHT(Formulas!U38)+2),"")))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IFERROR(INDEX(Datos!$A$2:$K$102,Formulas!T39,Formulas!U39+2),"")))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IFERROR(INDEX(Datos!$A$2:$K$102,Formulas!X38,RIGHT(Formulas!Z38)+2),"")))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IFERROR(INDEX(Datos!$A$2:$K$102,Formulas!Y39,Formulas!Z39+2),"")))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IFERROR(INDEX(Datos!$A$2:$K$102,Formulas!AC38,RIGHT(Formulas!AE38)+2),"")))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IFERROR(INDEX(Datos!$A$2:$K$102,Formulas!AD39,Formulas!AE39+2),"")))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IFERROR(INDEX(Datos!$A$2:$K$102,Formulas!AH38,RIGHT(Formulas!AJ38)+2),"")))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IFERROR(INDEX(Datos!$A$2:$K$102,Formulas!AI39,Formulas!AJ39+2),"")))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IFERROR(INDEX(Datos!$A$2:$K$102,Formulas!AM38,RIGHT(Formulas!AO38)+2),"")))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IFERROR(INDEX(Datos!$A$2:$K$102,Formulas!AN39,Formulas!AO39+2),"")))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IFERROR(INDEX(Datos!$A$2:$K$102,Formulas!AR38,RIGHT(Formulas!AT38)+2),"")))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IFERROR(INDEX(Datos!$A$2:$K$102,Formulas!AS39,Formulas!AT39+2),"")))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IFERROR(INDEX(Datos!$A$2:$K$102,Formulas!AW38,RIGHT(Formulas!AY38)+2),"")))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IFERROR(INDEX(Datos!$A$2:$K$102,Formulas!AX39,Formulas!AY39+2),"")))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IFERROR(INDEX(Datos!$A$2:$K$102,Formulas!D39,RIGHT(Formulas!F39)+2),"")))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IFERROR(INDEX(Datos!$A$2:$K$102,Formulas!E40,Formulas!F40+2),"")))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65:</v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IFERROR(INDEX(Datos!$A$2:$K$102,Formulas!I39,RIGHT(Formulas!K39)+2),"")))</f>
        <v>REQ007-4 Notificar éxito o error al usuario.</v>
      </c>
      <c r="J42" s="113" t="e" cm="1">
        <f t="array" aca="1" ref="J42" ca="1">IF(OR(Formulas!K40=0,Formulas!K40=""),"",HYPERLINK("["&amp;Archivo_Nombre&amp;"]Datos!"&amp;LEFT(SUBSTITUTE(ADDRESS(1,Formulas!K40+2),"$",""))&amp;Formulas!J40+1,
IFERROR(INDEX(Datos!$A$2:$K$102,Formulas!J40,Formulas!K40+2),"")))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IFERROR(INDEX(Datos!$A$2:$K$102,Formulas!N39,RIGHT(Formulas!P39)+2),"")))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IFERROR(INDEX(Datos!$A$2:$K$102,Formulas!O40,Formulas!P40+2),"")))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54: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IFERROR(INDEX(Datos!$A$2:$K$102,Formulas!S39,RIGHT(Formulas!U39)+2),"")))</f>
        <v>REQ006 Eliminación de Contratos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IFERROR(INDEX(Datos!$A$2:$K$102,Formulas!T40,Formulas!U40+2),"")))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IFERROR(INDEX(Datos!$A$2:$K$102,Formulas!X39,RIGHT(Formulas!Z39)+2),"")))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IFERROR(INDEX(Datos!$A$2:$K$102,Formulas!Y40,Formulas!Z40+2),"")))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IFERROR(INDEX(Datos!$A$2:$K$102,Formulas!AC39,RIGHT(Formulas!AE39)+2),"")))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IFERROR(INDEX(Datos!$A$2:$K$102,Formulas!AD40,Formulas!AE40+2),"")))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IFERROR(INDEX(Datos!$A$2:$K$102,Formulas!AH39,RIGHT(Formulas!AJ39)+2),"")))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IFERROR(INDEX(Datos!$A$2:$K$102,Formulas!AI40,Formulas!AJ40+2),"")))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IFERROR(INDEX(Datos!$A$2:$K$102,Formulas!AM39,RIGHT(Formulas!AO39)+2),"")))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IFERROR(INDEX(Datos!$A$2:$K$102,Formulas!AN40,Formulas!AO40+2),"")))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IFERROR(INDEX(Datos!$A$2:$K$102,Formulas!AR39,RIGHT(Formulas!AT39)+2),"")))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IFERROR(INDEX(Datos!$A$2:$K$102,Formulas!AS40,Formulas!AT40+2),"")))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IFERROR(INDEX(Datos!$A$2:$K$102,Formulas!AW39,RIGHT(Formulas!AY39)+2),"")))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IFERROR(INDEX(Datos!$A$2:$K$102,Formulas!AX40,Formulas!AY40+2),"")))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IFERROR(INDEX(Datos!$A$2:$K$102,Formulas!D40,RIGHT(Formulas!F40)+2),"")))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IFERROR(INDEX(Datos!$A$2:$K$102,Formulas!E41,Formulas!F41+2),"")))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3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IFERROR(INDEX(Datos!$A$2:$K$102,Formulas!I40,RIGHT(Formulas!K40)+2),"")))</f>
        <v>0</v>
      </c>
      <c r="J43" s="113" t="e" cm="1">
        <f t="array" aca="1" ref="J43" ca="1">IF(OR(Formulas!K41=0,Formulas!K41=""),"",HYPERLINK("["&amp;Archivo_Nombre&amp;"]Datos!"&amp;LEFT(SUBSTITUTE(ADDRESS(1,Formulas!K41+2),"$",""))&amp;Formulas!J41+1,
IFERROR(INDEX(Datos!$A$2:$K$102,Formulas!J41,Formulas!K41+2),"")))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IFERROR(INDEX(Datos!$A$2:$K$102,Formulas!N40,RIGHT(Formulas!P40)+2),"")))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IFERROR(INDEX(Datos!$A$2:$K$102,Formulas!O41,Formulas!P41+2),"")))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IFERROR(INDEX(Datos!$A$2:$K$102,Formulas!S40,RIGHT(Formulas!U40)+2),"")))</f>
        <v>Editar y eliminar contratos registrados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IFERROR(INDEX(Datos!$A$2:$K$102,Formulas!T41,Formulas!U41+2),"")))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IFERROR(INDEX(Datos!$A$2:$K$102,Formulas!X40,RIGHT(Formulas!Z40)+2),"")))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IFERROR(INDEX(Datos!$A$2:$K$102,Formulas!Y41,Formulas!Z41+2),"")))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IFERROR(INDEX(Datos!$A$2:$K$102,Formulas!AC40,RIGHT(Formulas!AE40)+2),"")))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IFERROR(INDEX(Datos!$A$2:$K$102,Formulas!AD41,Formulas!AE41+2),"")))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IFERROR(INDEX(Datos!$A$2:$K$102,Formulas!AH40,RIGHT(Formulas!AJ40)+2),"")))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IFERROR(INDEX(Datos!$A$2:$K$102,Formulas!AI41,Formulas!AJ41+2),"")))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IFERROR(INDEX(Datos!$A$2:$K$102,Formulas!AM40,RIGHT(Formulas!AO40)+2),"")))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IFERROR(INDEX(Datos!$A$2:$K$102,Formulas!AN41,Formulas!AO41+2),"")))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IFERROR(INDEX(Datos!$A$2:$K$102,Formulas!AR40,RIGHT(Formulas!AT40)+2),"")))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IFERROR(INDEX(Datos!$A$2:$K$102,Formulas!AS41,Formulas!AT41+2),"")))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IFERROR(INDEX(Datos!$A$2:$K$102,Formulas!AW40,RIGHT(Formulas!AY40)+2),"")))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IFERROR(INDEX(Datos!$A$2:$K$102,Formulas!AX41,Formulas!AY41+2),"")))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IFERROR(INDEX(Datos!$A$2:$K$102,Formulas!D41,RIGHT(Formulas!F41)+2),"")))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IFERROR(INDEX(Datos!$A$2:$K$102,Formulas!E42,Formulas!F42+2),"")))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3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IFERROR(INDEX(Datos!$A$2:$K$102,Formulas!I41,RIGHT(Formulas!K41)+2),"")))</f>
        <v>46002</v>
      </c>
      <c r="J44" s="113" t="e" cm="1">
        <f t="array" aca="1" ref="J44" ca="1">IF(OR(Formulas!K42=0,Formulas!K42=""),"",HYPERLINK("["&amp;Archivo_Nombre&amp;"]Datos!"&amp;LEFT(SUBSTITUTE(ADDRESS(1,Formulas!K42+2),"$",""))&amp;Formulas!J42+1,
IFERROR(INDEX(Datos!$A$2:$K$102,Formulas!J42,Formulas!K42+2),"")))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IFERROR(INDEX(Datos!$A$2:$K$102,Formulas!N41,RIGHT(Formulas!P41)+2),"")))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IFERROR(INDEX(Datos!$A$2:$K$102,Formulas!O42,Formulas!P42+2),"")))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IFERROR(INDEX(Datos!$A$2:$K$102,Formulas!S41,RIGHT(Formulas!U41)+2),"")))</f>
        <v>45994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IFERROR(INDEX(Datos!$A$2:$K$102,Formulas!T42,Formulas!U42+2),"")))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IFERROR(INDEX(Datos!$A$2:$K$102,Formulas!X41,RIGHT(Formulas!Z41)+2),"")))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IFERROR(INDEX(Datos!$A$2:$K$102,Formulas!Y42,Formulas!Z42+2),"")))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IFERROR(INDEX(Datos!$A$2:$K$102,Formulas!AC41,RIGHT(Formulas!AE41)+2),"")))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IFERROR(INDEX(Datos!$A$2:$K$102,Formulas!AD42,Formulas!AE42+2),"")))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IFERROR(INDEX(Datos!$A$2:$K$102,Formulas!AH41,RIGHT(Formulas!AJ41)+2),"")))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IFERROR(INDEX(Datos!$A$2:$K$102,Formulas!AI42,Formulas!AJ42+2),"")))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IFERROR(INDEX(Datos!$A$2:$K$102,Formulas!AM41,RIGHT(Formulas!AO41)+2),"")))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IFERROR(INDEX(Datos!$A$2:$K$102,Formulas!AN42,Formulas!AO42+2),"")))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IFERROR(INDEX(Datos!$A$2:$K$102,Formulas!AR41,RIGHT(Formulas!AT41)+2),"")))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IFERROR(INDEX(Datos!$A$2:$K$102,Formulas!AS42,Formulas!AT42+2),"")))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IFERROR(INDEX(Datos!$A$2:$K$102,Formulas!AW41,RIGHT(Formulas!AY41)+2),"")))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IFERROR(INDEX(Datos!$A$2:$K$102,Formulas!AX42,Formulas!AY42+2),"")))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IFERROR(INDEX(Datos!$A$2:$K$102,Formulas!D42,RIGHT(Formulas!F42)+2),"")))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IFERROR(INDEX(Datos!$A$2:$K$102,Formulas!E43,Formulas!F43+2),"")))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3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IFERROR(INDEX(Datos!$A$2:$K$102,Formulas!I42,RIGHT(Formulas!K42)+2),"")))</f>
        <v>46043</v>
      </c>
      <c r="J45" s="113" t="e" cm="1">
        <f t="array" aca="1" ref="J45" ca="1">IF(OR(Formulas!K43=0,Formulas!K43=""),"",HYPERLINK("["&amp;Archivo_Nombre&amp;"]Datos!"&amp;LEFT(SUBSTITUTE(ADDRESS(1,Formulas!K43+2),"$",""))&amp;Formulas!J43+1,
IFERROR(INDEX(Datos!$A$2:$K$102,Formulas!J43,Formulas!K43+2),"")))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IFERROR(INDEX(Datos!$A$2:$K$102,Formulas!N42,RIGHT(Formulas!P42)+2),"")))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IFERROR(INDEX(Datos!$A$2:$K$102,Formulas!O43,Formulas!P43+2),"")))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IFERROR(INDEX(Datos!$A$2:$K$102,Formulas!S42,RIGHT(Formulas!U42)+2),"")))</f>
        <v>45999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IFERROR(INDEX(Datos!$A$2:$K$102,Formulas!T43,Formulas!U43+2),"")))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IFERROR(INDEX(Datos!$A$2:$K$102,Formulas!X42,RIGHT(Formulas!Z42)+2),"")))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IFERROR(INDEX(Datos!$A$2:$K$102,Formulas!Y43,Formulas!Z43+2),"")))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IFERROR(INDEX(Datos!$A$2:$K$102,Formulas!AC42,RIGHT(Formulas!AE42)+2),"")))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IFERROR(INDEX(Datos!$A$2:$K$102,Formulas!AD43,Formulas!AE43+2),"")))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IFERROR(INDEX(Datos!$A$2:$K$102,Formulas!AH42,RIGHT(Formulas!AJ42)+2),"")))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IFERROR(INDEX(Datos!$A$2:$K$102,Formulas!AI43,Formulas!AJ43+2),"")))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IFERROR(INDEX(Datos!$A$2:$K$102,Formulas!AM42,RIGHT(Formulas!AO42)+2),"")))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IFERROR(INDEX(Datos!$A$2:$K$102,Formulas!AN43,Formulas!AO43+2),"")))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IFERROR(INDEX(Datos!$A$2:$K$102,Formulas!AR42,RIGHT(Formulas!AT42)+2),"")))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IFERROR(INDEX(Datos!$A$2:$K$102,Formulas!AS43,Formulas!AT43+2),"")))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IFERROR(INDEX(Datos!$A$2:$K$102,Formulas!AW42,RIGHT(Formulas!AY42)+2),"")))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IFERROR(INDEX(Datos!$A$2:$K$102,Formulas!AX43,Formulas!AY43+2),"")))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IFERROR(INDEX(Datos!$A$2:$K$102,Formulas!D43,RIGHT(Formulas!F43)+2),"")))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IFERROR(INDEX(Datos!$A$2:$K$102,Formulas!E44,Formulas!F44+2),"")))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3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IFERROR(INDEX(Datos!$A$2:$K$102,Formulas!I43,RIGHT(Formulas!K43)+2),"")))</f>
        <v>46003</v>
      </c>
      <c r="J46" s="113" t="e" cm="1">
        <f t="array" aca="1" ref="J46" ca="1">IF(OR(Formulas!K44=0,Formulas!K44=""),"",HYPERLINK("["&amp;Archivo_Nombre&amp;"]Datos!"&amp;LEFT(SUBSTITUTE(ADDRESS(1,Formulas!K44+2),"$",""))&amp;Formulas!J44+1,
IFERROR(INDEX(Datos!$A$2:$K$102,Formulas!J44,Formulas!K44+2),"")))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IFERROR(INDEX(Datos!$A$2:$K$102,Formulas!N43,RIGHT(Formulas!P43)+2),"")))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IFERROR(INDEX(Datos!$A$2:$K$102,Formulas!O44,Formulas!P44+2),"")))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IFERROR(INDEX(Datos!$A$2:$K$102,Formulas!S43,RIGHT(Formulas!U43)+2),"")))</f>
        <v>45999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IFERROR(INDEX(Datos!$A$2:$K$102,Formulas!T44,Formulas!U44+2),"")))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IFERROR(INDEX(Datos!$A$2:$K$102,Formulas!X43,RIGHT(Formulas!Z43)+2),"")))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IFERROR(INDEX(Datos!$A$2:$K$102,Formulas!Y44,Formulas!Z44+2),"")))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IFERROR(INDEX(Datos!$A$2:$K$102,Formulas!AC43,RIGHT(Formulas!AE43)+2),"")))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IFERROR(INDEX(Datos!$A$2:$K$102,Formulas!AD44,Formulas!AE44+2),"")))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IFERROR(INDEX(Datos!$A$2:$K$102,Formulas!AH43,RIGHT(Formulas!AJ43)+2),"")))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IFERROR(INDEX(Datos!$A$2:$K$102,Formulas!AI44,Formulas!AJ44+2),"")))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IFERROR(INDEX(Datos!$A$2:$K$102,Formulas!AM43,RIGHT(Formulas!AO43)+2),"")))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IFERROR(INDEX(Datos!$A$2:$K$102,Formulas!AN44,Formulas!AO44+2),"")))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IFERROR(INDEX(Datos!$A$2:$K$102,Formulas!AR43,RIGHT(Formulas!AT43)+2),"")))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IFERROR(INDEX(Datos!$A$2:$K$102,Formulas!AS44,Formulas!AT44+2),"")))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IFERROR(INDEX(Datos!$A$2:$K$102,Formulas!AW43,RIGHT(Formulas!AY43)+2),"")))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IFERROR(INDEX(Datos!$A$2:$K$102,Formulas!AX44,Formulas!AY44+2),"")))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IFERROR(INDEX(Datos!$A$2:$K$102,Formulas!D44,RIGHT(Formulas!F44)+2),"")))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IFERROR(INDEX(Datos!$A$2:$K$102,Formulas!E45,Formulas!F45+2),"")))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IFERROR(INDEX(Datos!$A$2:$K$102,Formulas!I44,RIGHT(Formulas!K44)+2),"")))</f>
        <v>2 días</v>
      </c>
      <c r="J47" s="113" t="e" cm="1">
        <f t="array" aca="1" ref="J47" ca="1">IF(OR(Formulas!K45=0,Formulas!K45=""),"",HYPERLINK("["&amp;Archivo_Nombre&amp;"]Datos!"&amp;LEFT(SUBSTITUTE(ADDRESS(1,Formulas!K45+2),"$",""))&amp;Formulas!J45+1,
IFERROR(INDEX(Datos!$A$2:$K$102,Formulas!J45,Formulas!K45+2),"")))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IFERROR(INDEX(Datos!$A$2:$K$102,Formulas!N44,RIGHT(Formulas!P44)+2),"")))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IFERROR(INDEX(Datos!$A$2:$K$102,Formulas!O45,Formulas!P45+2),"")))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IFERROR(INDEX(Datos!$A$2:$K$102,Formulas!S44,RIGHT(Formulas!U44)+2),"")))</f>
        <v>6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IFERROR(INDEX(Datos!$A$2:$K$102,Formulas!T45,Formulas!U45+2),"")))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IFERROR(INDEX(Datos!$A$2:$K$102,Formulas!X44,RIGHT(Formulas!Z44)+2),"")))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IFERROR(INDEX(Datos!$A$2:$K$102,Formulas!Y45,Formulas!Z45+2),"")))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IFERROR(INDEX(Datos!$A$2:$K$102,Formulas!AC44,RIGHT(Formulas!AE44)+2),"")))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IFERROR(INDEX(Datos!$A$2:$K$102,Formulas!AD45,Formulas!AE45+2),"")))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IFERROR(INDEX(Datos!$A$2:$K$102,Formulas!AH44,RIGHT(Formulas!AJ44)+2),"")))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IFERROR(INDEX(Datos!$A$2:$K$102,Formulas!AI45,Formulas!AJ45+2),"")))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IFERROR(INDEX(Datos!$A$2:$K$102,Formulas!AM44,RIGHT(Formulas!AO44)+2),"")))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IFERROR(INDEX(Datos!$A$2:$K$102,Formulas!AN45,Formulas!AO45+2),"")))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IFERROR(INDEX(Datos!$A$2:$K$102,Formulas!AR44,RIGHT(Formulas!AT44)+2),"")))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IFERROR(INDEX(Datos!$A$2:$K$102,Formulas!AS45,Formulas!AT45+2),"")))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IFERROR(INDEX(Datos!$A$2:$K$102,Formulas!AW44,RIGHT(Formulas!AY44)+2),"")))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IFERROR(INDEX(Datos!$A$2:$K$102,Formulas!AX45,Formulas!AY45+2),"")))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IFERROR(INDEX(Datos!$A$2:$K$102,Formulas!D45,RIGHT(Formulas!F45)+2),"")))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IFERROR(INDEX(Datos!$A$2:$K$102,Formulas!E46,Formulas!F46+2),"")))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IFERROR(INDEX(Datos!$A$2:$K$102,Formulas!I45,RIGHT(Formulas!K45)+2),"")))</f>
        <v>0 días</v>
      </c>
      <c r="J48" s="113" t="e" cm="1">
        <f t="array" aca="1" ref="J48" ca="1">IF(OR(Formulas!K46=0,Formulas!K46=""),"",HYPERLINK("["&amp;Archivo_Nombre&amp;"]Datos!"&amp;LEFT(SUBSTITUTE(ADDRESS(1,Formulas!K46+2),"$",""))&amp;Formulas!J46+1,
IFERROR(INDEX(Datos!$A$2:$K$102,Formulas!J46,Formulas!K46+2),"")))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IFERROR(INDEX(Datos!$A$2:$K$102,Formulas!N45,RIGHT(Formulas!P45)+2),"")))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IFERROR(INDEX(Datos!$A$2:$K$102,Formulas!O46,Formulas!P46+2),"")))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IFERROR(INDEX(Datos!$A$2:$K$102,Formulas!S45,RIGHT(Formulas!U45)+2),"")))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IFERROR(INDEX(Datos!$A$2:$K$102,Formulas!T46,Formulas!U46+2),"")))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IFERROR(INDEX(Datos!$A$2:$K$102,Formulas!X45,RIGHT(Formulas!Z45)+2),"")))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IFERROR(INDEX(Datos!$A$2:$K$102,Formulas!Y46,Formulas!Z46+2),"")))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IFERROR(INDEX(Datos!$A$2:$K$102,Formulas!AC45,RIGHT(Formulas!AE45)+2),"")))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IFERROR(INDEX(Datos!$A$2:$K$102,Formulas!AD46,Formulas!AE46+2),"")))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IFERROR(INDEX(Datos!$A$2:$K$102,Formulas!AH45,RIGHT(Formulas!AJ45)+2),"")))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IFERROR(INDEX(Datos!$A$2:$K$102,Formulas!AI46,Formulas!AJ46+2),"")))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IFERROR(INDEX(Datos!$A$2:$K$102,Formulas!AM45,RIGHT(Formulas!AO45)+2),"")))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IFERROR(INDEX(Datos!$A$2:$K$102,Formulas!AN46,Formulas!AO46+2),"")))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IFERROR(INDEX(Datos!$A$2:$K$102,Formulas!AR45,RIGHT(Formulas!AT45)+2),"")))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IFERROR(INDEX(Datos!$A$2:$K$102,Formulas!AS46,Formulas!AT46+2),"")))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IFERROR(INDEX(Datos!$A$2:$K$102,Formulas!AW45,RIGHT(Formulas!AY45)+2),"")))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IFERROR(INDEX(Datos!$A$2:$K$102,Formulas!AX46,Formulas!AY46+2),"")))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IFERROR(INDEX(Datos!$A$2:$K$102,Formulas!D46,RIGHT(Formulas!F46)+2),"")))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IFERROR(INDEX(Datos!$A$2:$K$102,Formulas!E47,Formulas!F47+2),"")))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IFERROR(INDEX(Datos!$A$2:$K$102,Formulas!I46,RIGHT(Formulas!K46)+2),"")))</f>
        <v>Madellyn Tasipanta</v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IFERROR(INDEX(Datos!$A$2:$K$102,Formulas!J47,Formulas!K47+2),"")))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IFERROR(INDEX(Datos!$A$2:$K$102,Formulas!N46,RIGHT(Formulas!P46)+2),"")))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IFERROR(INDEX(Datos!$A$2:$K$102,Formulas!O47,Formulas!P47+2),"")))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IFERROR(INDEX(Datos!$A$2:$K$102,Formulas!S46,RIGHT(Formulas!U46)+2),"")))</f>
        <v>Madellyn Tasipanta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IFERROR(INDEX(Datos!$A$2:$K$102,Formulas!T47,Formulas!U47+2),"")))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IFERROR(INDEX(Datos!$A$2:$K$102,Formulas!X46,RIGHT(Formulas!Z46)+2),"")))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IFERROR(INDEX(Datos!$A$2:$K$102,Formulas!Y47,Formulas!Z47+2),"")))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IFERROR(INDEX(Datos!$A$2:$K$102,Formulas!AC46,RIGHT(Formulas!AE46)+2),"")))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IFERROR(INDEX(Datos!$A$2:$K$102,Formulas!AD47,Formulas!AE47+2),"")))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IFERROR(INDEX(Datos!$A$2:$K$102,Formulas!AH46,RIGHT(Formulas!AJ46)+2),"")))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IFERROR(INDEX(Datos!$A$2:$K$102,Formulas!AI47,Formulas!AJ47+2),"")))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IFERROR(INDEX(Datos!$A$2:$K$102,Formulas!AM46,RIGHT(Formulas!AO46)+2),"")))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IFERROR(INDEX(Datos!$A$2:$K$102,Formulas!AN47,Formulas!AO47+2),"")))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IFERROR(INDEX(Datos!$A$2:$K$102,Formulas!AR46,RIGHT(Formulas!AT46)+2),"")))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IFERROR(INDEX(Datos!$A$2:$K$102,Formulas!AS47,Formulas!AT47+2),"")))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IFERROR(INDEX(Datos!$A$2:$K$102,Formulas!AW46,RIGHT(Formulas!AY46)+2),"")))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IFERROR(INDEX(Datos!$A$2:$K$102,Formulas!AX47,Formulas!AY47+2),"")))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IFERROR(INDEX(Datos!$A$2:$K$102,Formulas!D47,RIGHT(Formulas!F47)+2),"")))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IFERROR(INDEX(Datos!$A$2:$K$102,Formulas!E48,Formulas!F48+2),"")))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IFERROR(INDEX(Datos!$A$2:$K$102,Formulas!I47,RIGHT(Formulas!K47)+2),"")))</f>
        <v/>
      </c>
      <c r="J50" s="113" t="e" cm="1">
        <f t="array" aca="1" ref="J50" ca="1">IF(OR(Formulas!K48=0,Formulas!K48=""),"",HYPERLINK("["&amp;Archivo_Nombre&amp;"]Datos!"&amp;LEFT(SUBSTITUTE(ADDRESS(1,Formulas!K48+2),"$",""))&amp;Formulas!J48+1,
IFERROR(INDEX(Datos!$A$2:$K$102,Formulas!J48,Formulas!K48+2),"")))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IFERROR(INDEX(Datos!$A$2:$K$102,Formulas!N47,RIGHT(Formulas!P47)+2),"")))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IFERROR(INDEX(Datos!$A$2:$K$102,Formulas!O48,Formulas!P48+2),"")))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IFERROR(INDEX(Datos!$A$2:$K$102,Formulas!S47,RIGHT(Formulas!U47)+2),"")))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IFERROR(INDEX(Datos!$A$2:$K$102,Formulas!T48,Formulas!U48+2),"")))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IFERROR(INDEX(Datos!$A$2:$K$102,Formulas!X47,RIGHT(Formulas!Z47)+2),"")))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IFERROR(INDEX(Datos!$A$2:$K$102,Formulas!Y48,Formulas!Z48+2),"")))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IFERROR(INDEX(Datos!$A$2:$K$102,Formulas!AC47,RIGHT(Formulas!AE47)+2),"")))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IFERROR(INDEX(Datos!$A$2:$K$102,Formulas!AD48,Formulas!AE48+2),"")))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IFERROR(INDEX(Datos!$A$2:$K$102,Formulas!AH47,RIGHT(Formulas!AJ47)+2),"")))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IFERROR(INDEX(Datos!$A$2:$K$102,Formulas!AI48,Formulas!AJ48+2),"")))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IFERROR(INDEX(Datos!$A$2:$K$102,Formulas!AM47,RIGHT(Formulas!AO47)+2),"")))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IFERROR(INDEX(Datos!$A$2:$K$102,Formulas!AN48,Formulas!AO48+2),"")))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IFERROR(INDEX(Datos!$A$2:$K$102,Formulas!AR47,RIGHT(Formulas!AT47)+2),"")))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IFERROR(INDEX(Datos!$A$2:$K$102,Formulas!AS48,Formulas!AT48+2),"")))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IFERROR(INDEX(Datos!$A$2:$K$102,Formulas!AW47,RIGHT(Formulas!AY47)+2),"")))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IFERROR(INDEX(Datos!$A$2:$K$102,Formulas!AX48,Formulas!AY48+2),"")))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IFERROR(INDEX(Datos!$A$2:$K$102,Formulas!D48,RIGHT(Formulas!F48)+2),"")))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IFERROR(INDEX(Datos!$A$2:$K$102,Formulas!E49,Formulas!F49+2),"")))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64:</v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IFERROR(INDEX(Datos!$A$2:$K$102,Formulas!I48,RIGHT(Formulas!K48)+2),"")))</f>
        <v>REQ007-3 Registrar el contrato con sus datos esenciales.</v>
      </c>
      <c r="J51" s="113" t="e" cm="1">
        <f t="array" aca="1" ref="J51" ca="1">IF(OR(Formulas!K49=0,Formulas!K49=""),"",HYPERLINK("["&amp;Archivo_Nombre&amp;"]Datos!"&amp;LEFT(SUBSTITUTE(ADDRESS(1,Formulas!K49+2),"$",""))&amp;Formulas!J49+1,
IFERROR(INDEX(Datos!$A$2:$K$102,Formulas!J49,Formulas!K49+2),"")))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IFERROR(INDEX(Datos!$A$2:$K$102,Formulas!N48,RIGHT(Formulas!P48)+2),"")))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IFERROR(INDEX(Datos!$A$2:$K$102,Formulas!O49,Formulas!P49+2),"")))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53: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IFERROR(INDEX(Datos!$A$2:$K$102,Formulas!S48,RIGHT(Formulas!U48)+2),"")))</f>
        <v>Revisión archivo Kanban de los sprint0, sprint1, sprint2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IFERROR(INDEX(Datos!$A$2:$K$102,Formulas!T49,Formulas!U49+2),"")))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IFERROR(INDEX(Datos!$A$2:$K$102,Formulas!X48,RIGHT(Formulas!Z48)+2),"")))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IFERROR(INDEX(Datos!$A$2:$K$102,Formulas!Y49,Formulas!Z49+2),"")))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IFERROR(INDEX(Datos!$A$2:$K$102,Formulas!AC48,RIGHT(Formulas!AE48)+2),"")))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IFERROR(INDEX(Datos!$A$2:$K$102,Formulas!AD49,Formulas!AE49+2),"")))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IFERROR(INDEX(Datos!$A$2:$K$102,Formulas!AH48,RIGHT(Formulas!AJ48)+2),"")))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IFERROR(INDEX(Datos!$A$2:$K$102,Formulas!AI49,Formulas!AJ49+2),"")))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IFERROR(INDEX(Datos!$A$2:$K$102,Formulas!AM48,RIGHT(Formulas!AO48)+2),"")))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IFERROR(INDEX(Datos!$A$2:$K$102,Formulas!AN49,Formulas!AO49+2),"")))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IFERROR(INDEX(Datos!$A$2:$K$102,Formulas!AR48,RIGHT(Formulas!AT48)+2),"")))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IFERROR(INDEX(Datos!$A$2:$K$102,Formulas!AS49,Formulas!AT49+2),"")))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IFERROR(INDEX(Datos!$A$2:$K$102,Formulas!AW48,RIGHT(Formulas!AY48)+2),"")))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IFERROR(INDEX(Datos!$A$2:$K$102,Formulas!AX49,Formulas!AY49+2),"")))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IFERROR(INDEX(Datos!$A$2:$K$102,Formulas!D49,RIGHT(Formulas!F49)+2),"")))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IFERROR(INDEX(Datos!$A$2:$K$102,Formulas!E50,Formulas!F50+2),"")))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3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IFERROR(INDEX(Datos!$A$2:$K$102,Formulas!I49,RIGHT(Formulas!K49)+2),"")))</f>
        <v>0</v>
      </c>
      <c r="J52" s="113" t="e" cm="1">
        <f t="array" aca="1" ref="J52" ca="1">IF(OR(Formulas!K50=0,Formulas!K50=""),"",HYPERLINK("["&amp;Archivo_Nombre&amp;"]Datos!"&amp;LEFT(SUBSTITUTE(ADDRESS(1,Formulas!K50+2),"$",""))&amp;Formulas!J50+1,
IFERROR(INDEX(Datos!$A$2:$K$102,Formulas!J50,Formulas!K50+2),"")))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IFERROR(INDEX(Datos!$A$2:$K$102,Formulas!N49,RIGHT(Formulas!P49)+2),"")))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IFERROR(INDEX(Datos!$A$2:$K$102,Formulas!O50,Formulas!P50+2),"")))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IFERROR(INDEX(Datos!$A$2:$K$102,Formulas!S49,RIGHT(Formulas!U49)+2),"")))</f>
        <v>Revisión por parte de la ingeniera guía del proyecto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IFERROR(INDEX(Datos!$A$2:$K$102,Formulas!T50,Formulas!U50+2),"")))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IFERROR(INDEX(Datos!$A$2:$K$102,Formulas!X49,RIGHT(Formulas!Z49)+2),"")))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IFERROR(INDEX(Datos!$A$2:$K$102,Formulas!Y50,Formulas!Z50+2),"")))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IFERROR(INDEX(Datos!$A$2:$K$102,Formulas!AC49,RIGHT(Formulas!AE49)+2),"")))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IFERROR(INDEX(Datos!$A$2:$K$102,Formulas!AD50,Formulas!AE50+2),"")))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IFERROR(INDEX(Datos!$A$2:$K$102,Formulas!AH49,RIGHT(Formulas!AJ49)+2),"")))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IFERROR(INDEX(Datos!$A$2:$K$102,Formulas!AI50,Formulas!AJ50+2),"")))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IFERROR(INDEX(Datos!$A$2:$K$102,Formulas!AM49,RIGHT(Formulas!AO49)+2),"")))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IFERROR(INDEX(Datos!$A$2:$K$102,Formulas!AN50,Formulas!AO50+2),"")))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IFERROR(INDEX(Datos!$A$2:$K$102,Formulas!AR49,RIGHT(Formulas!AT49)+2),"")))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IFERROR(INDEX(Datos!$A$2:$K$102,Formulas!AS50,Formulas!AT50+2),"")))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IFERROR(INDEX(Datos!$A$2:$K$102,Formulas!AW49,RIGHT(Formulas!AY49)+2),"")))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IFERROR(INDEX(Datos!$A$2:$K$102,Formulas!AX50,Formulas!AY50+2),"")))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IFERROR(INDEX(Datos!$A$2:$K$102,Formulas!D50,RIGHT(Formulas!F50)+2),"")))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IFERROR(INDEX(Datos!$A$2:$K$102,Formulas!E51,Formulas!F51+2),"")))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3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IFERROR(INDEX(Datos!$A$2:$K$102,Formulas!I50,RIGHT(Formulas!K50)+2),"")))</f>
        <v>46002</v>
      </c>
      <c r="J53" s="113" t="e" cm="1">
        <f t="array" aca="1" ref="J53" ca="1">IF(OR(Formulas!K51=0,Formulas!K51=""),"",HYPERLINK("["&amp;Archivo_Nombre&amp;"]Datos!"&amp;LEFT(SUBSTITUTE(ADDRESS(1,Formulas!K51+2),"$",""))&amp;Formulas!J51+1,
IFERROR(INDEX(Datos!$A$2:$K$102,Formulas!J51,Formulas!K51+2),"")))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IFERROR(INDEX(Datos!$A$2:$K$102,Formulas!N50,RIGHT(Formulas!P50)+2),"")))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IFERROR(INDEX(Datos!$A$2:$K$102,Formulas!O51,Formulas!P51+2),"")))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IFERROR(INDEX(Datos!$A$2:$K$102,Formulas!S50,RIGHT(Formulas!U50)+2),"")))</f>
        <v>46036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IFERROR(INDEX(Datos!$A$2:$K$102,Formulas!T51,Formulas!U51+2),"")))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IFERROR(INDEX(Datos!$A$2:$K$102,Formulas!X50,RIGHT(Formulas!Z50)+2),"")))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IFERROR(INDEX(Datos!$A$2:$K$102,Formulas!Y51,Formulas!Z51+2),"")))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IFERROR(INDEX(Datos!$A$2:$K$102,Formulas!AC50,RIGHT(Formulas!AE50)+2),"")))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IFERROR(INDEX(Datos!$A$2:$K$102,Formulas!AD51,Formulas!AE51+2),"")))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IFERROR(INDEX(Datos!$A$2:$K$102,Formulas!AH50,RIGHT(Formulas!AJ50)+2),"")))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IFERROR(INDEX(Datos!$A$2:$K$102,Formulas!AI51,Formulas!AJ51+2),"")))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IFERROR(INDEX(Datos!$A$2:$K$102,Formulas!AM50,RIGHT(Formulas!AO50)+2),"")))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IFERROR(INDEX(Datos!$A$2:$K$102,Formulas!AN51,Formulas!AO51+2),"")))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IFERROR(INDEX(Datos!$A$2:$K$102,Formulas!AR50,RIGHT(Formulas!AT50)+2),"")))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IFERROR(INDEX(Datos!$A$2:$K$102,Formulas!AS51,Formulas!AT51+2),"")))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IFERROR(INDEX(Datos!$A$2:$K$102,Formulas!AW50,RIGHT(Formulas!AY50)+2),"")))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IFERROR(INDEX(Datos!$A$2:$K$102,Formulas!AX51,Formulas!AY51+2),"")))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IFERROR(INDEX(Datos!$A$2:$K$102,Formulas!D51,RIGHT(Formulas!F51)+2),"")))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IFERROR(INDEX(Datos!$A$2:$K$102,Formulas!E52,Formulas!F52+2),"")))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3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IFERROR(INDEX(Datos!$A$2:$K$102,Formulas!I51,RIGHT(Formulas!K51)+2),"")))</f>
        <v>46043</v>
      </c>
      <c r="J54" s="113" t="e" cm="1">
        <f t="array" aca="1" ref="J54" ca="1">IF(OR(Formulas!K52=0,Formulas!K52=""),"",HYPERLINK("["&amp;Archivo_Nombre&amp;"]Datos!"&amp;LEFT(SUBSTITUTE(ADDRESS(1,Formulas!K52+2),"$",""))&amp;Formulas!J52+1,
IFERROR(INDEX(Datos!$A$2:$K$102,Formulas!J52,Formulas!K52+2),"")))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IFERROR(INDEX(Datos!$A$2:$K$102,Formulas!N51,RIGHT(Formulas!P51)+2),"")))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IFERROR(INDEX(Datos!$A$2:$K$102,Formulas!O52,Formulas!P52+2),"")))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IFERROR(INDEX(Datos!$A$2:$K$102,Formulas!S51,RIGHT(Formulas!U51)+2),"")))</f>
        <v>46038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IFERROR(INDEX(Datos!$A$2:$K$102,Formulas!T52,Formulas!U52+2),"")))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IFERROR(INDEX(Datos!$A$2:$K$102,Formulas!X51,RIGHT(Formulas!Z51)+2),"")))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IFERROR(INDEX(Datos!$A$2:$K$102,Formulas!Y52,Formulas!Z52+2),"")))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IFERROR(INDEX(Datos!$A$2:$K$102,Formulas!AC51,RIGHT(Formulas!AE51)+2),"")))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IFERROR(INDEX(Datos!$A$2:$K$102,Formulas!AD52,Formulas!AE52+2),"")))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IFERROR(INDEX(Datos!$A$2:$K$102,Formulas!AH51,RIGHT(Formulas!AJ51)+2),"")))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IFERROR(INDEX(Datos!$A$2:$K$102,Formulas!AI52,Formulas!AJ52+2),"")))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IFERROR(INDEX(Datos!$A$2:$K$102,Formulas!AM51,RIGHT(Formulas!AO51)+2),"")))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IFERROR(INDEX(Datos!$A$2:$K$102,Formulas!AN52,Formulas!AO52+2),"")))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IFERROR(INDEX(Datos!$A$2:$K$102,Formulas!AR51,RIGHT(Formulas!AT51)+2),"")))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IFERROR(INDEX(Datos!$A$2:$K$102,Formulas!AS52,Formulas!AT52+2),"")))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IFERROR(INDEX(Datos!$A$2:$K$102,Formulas!AW51,RIGHT(Formulas!AY51)+2),"")))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IFERROR(INDEX(Datos!$A$2:$K$102,Formulas!AX52,Formulas!AY52+2),"")))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IFERROR(INDEX(Datos!$A$2:$K$102,Formulas!D52,RIGHT(Formulas!F52)+2),"")))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IFERROR(INDEX(Datos!$A$2:$K$102,Formulas!E53,Formulas!F53+2),"")))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3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IFERROR(INDEX(Datos!$A$2:$K$102,Formulas!I52,RIGHT(Formulas!K52)+2),"")))</f>
        <v>46003</v>
      </c>
      <c r="J55" s="113" t="e" cm="1">
        <f t="array" aca="1" ref="J55" ca="1">IF(OR(Formulas!K53=0,Formulas!K53=""),"",HYPERLINK("["&amp;Archivo_Nombre&amp;"]Datos!"&amp;LEFT(SUBSTITUTE(ADDRESS(1,Formulas!K53+2),"$",""))&amp;Formulas!J53+1,
IFERROR(INDEX(Datos!$A$2:$K$102,Formulas!J53,Formulas!K53+2),"")))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IFERROR(INDEX(Datos!$A$2:$K$102,Formulas!N52,RIGHT(Formulas!P52)+2),"")))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IFERROR(INDEX(Datos!$A$2:$K$102,Formulas!O53,Formulas!P53+2),"")))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IFERROR(INDEX(Datos!$A$2:$K$102,Formulas!S52,RIGHT(Formulas!U52)+2),"")))</f>
        <v>46038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IFERROR(INDEX(Datos!$A$2:$K$102,Formulas!T53,Formulas!U53+2),"")))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IFERROR(INDEX(Datos!$A$2:$K$102,Formulas!X52,RIGHT(Formulas!Z52)+2),"")))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IFERROR(INDEX(Datos!$A$2:$K$102,Formulas!Y53,Formulas!Z53+2),"")))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IFERROR(INDEX(Datos!$A$2:$K$102,Formulas!AC52,RIGHT(Formulas!AE52)+2),"")))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IFERROR(INDEX(Datos!$A$2:$K$102,Formulas!AD53,Formulas!AE53+2),"")))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IFERROR(INDEX(Datos!$A$2:$K$102,Formulas!AH52,RIGHT(Formulas!AJ52)+2),"")))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IFERROR(INDEX(Datos!$A$2:$K$102,Formulas!AI53,Formulas!AJ53+2),"")))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IFERROR(INDEX(Datos!$A$2:$K$102,Formulas!AM52,RIGHT(Formulas!AO52)+2),"")))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IFERROR(INDEX(Datos!$A$2:$K$102,Formulas!AN53,Formulas!AO53+2),"")))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IFERROR(INDEX(Datos!$A$2:$K$102,Formulas!AR52,RIGHT(Formulas!AT52)+2),"")))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IFERROR(INDEX(Datos!$A$2:$K$102,Formulas!AS53,Formulas!AT53+2),"")))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IFERROR(INDEX(Datos!$A$2:$K$102,Formulas!AW52,RIGHT(Formulas!AY52)+2),"")))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IFERROR(INDEX(Datos!$A$2:$K$102,Formulas!AX53,Formulas!AY53+2),"")))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IFERROR(INDEX(Datos!$A$2:$K$102,Formulas!D53,RIGHT(Formulas!F53)+2),"")))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IFERROR(INDEX(Datos!$A$2:$K$102,Formulas!E54,Formulas!F54+2),"")))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IFERROR(INDEX(Datos!$A$2:$K$102,Formulas!I53,RIGHT(Formulas!K53)+2),"")))</f>
        <v>2 días</v>
      </c>
      <c r="J56" s="113" t="e" cm="1">
        <f t="array" aca="1" ref="J56" ca="1">IF(OR(Formulas!K54=0,Formulas!K54=""),"",HYPERLINK("["&amp;Archivo_Nombre&amp;"]Datos!"&amp;LEFT(SUBSTITUTE(ADDRESS(1,Formulas!K54+2),"$",""))&amp;Formulas!J54+1,
IFERROR(INDEX(Datos!$A$2:$K$102,Formulas!J54,Formulas!K54+2),"")))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IFERROR(INDEX(Datos!$A$2:$K$102,Formulas!N53,RIGHT(Formulas!P53)+2),"")))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IFERROR(INDEX(Datos!$A$2:$K$102,Formulas!O54,Formulas!P54+2),"")))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IFERROR(INDEX(Datos!$A$2:$K$102,Formulas!S53,RIGHT(Formulas!U53)+2),"")))</f>
        <v>3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IFERROR(INDEX(Datos!$A$2:$K$102,Formulas!T54,Formulas!U54+2),"")))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IFERROR(INDEX(Datos!$A$2:$K$102,Formulas!X53,RIGHT(Formulas!Z53)+2),"")))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IFERROR(INDEX(Datos!$A$2:$K$102,Formulas!Y54,Formulas!Z54+2),"")))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IFERROR(INDEX(Datos!$A$2:$K$102,Formulas!AC53,RIGHT(Formulas!AE53)+2),"")))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IFERROR(INDEX(Datos!$A$2:$K$102,Formulas!AD54,Formulas!AE54+2),"")))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IFERROR(INDEX(Datos!$A$2:$K$102,Formulas!AH53,RIGHT(Formulas!AJ53)+2),"")))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IFERROR(INDEX(Datos!$A$2:$K$102,Formulas!AI54,Formulas!AJ54+2),"")))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IFERROR(INDEX(Datos!$A$2:$K$102,Formulas!AM53,RIGHT(Formulas!AO53)+2),"")))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IFERROR(INDEX(Datos!$A$2:$K$102,Formulas!AN54,Formulas!AO54+2),"")))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IFERROR(INDEX(Datos!$A$2:$K$102,Formulas!AR53,RIGHT(Formulas!AT53)+2),"")))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IFERROR(INDEX(Datos!$A$2:$K$102,Formulas!AS54,Formulas!AT54+2),"")))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IFERROR(INDEX(Datos!$A$2:$K$102,Formulas!AW53,RIGHT(Formulas!AY53)+2),"")))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IFERROR(INDEX(Datos!$A$2:$K$102,Formulas!AX54,Formulas!AY54+2),"")))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IFERROR(INDEX(Datos!$A$2:$K$102,Formulas!D54,RIGHT(Formulas!F54)+2),"")))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IFERROR(INDEX(Datos!$A$2:$K$102,Formulas!E55,Formulas!F55+2),"")))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IFERROR(INDEX(Datos!$A$2:$K$102,Formulas!I54,RIGHT(Formulas!K54)+2),"")))</f>
        <v>0 días</v>
      </c>
      <c r="J57" s="113" t="e" cm="1">
        <f t="array" aca="1" ref="J57" ca="1">IF(OR(Formulas!K55=0,Formulas!K55=""),"",HYPERLINK("["&amp;Archivo_Nombre&amp;"]Datos!"&amp;LEFT(SUBSTITUTE(ADDRESS(1,Formulas!K55+2),"$",""))&amp;Formulas!J55+1,
IFERROR(INDEX(Datos!$A$2:$K$102,Formulas!J55,Formulas!K55+2),"")))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IFERROR(INDEX(Datos!$A$2:$K$102,Formulas!N54,RIGHT(Formulas!P54)+2),"")))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IFERROR(INDEX(Datos!$A$2:$K$102,Formulas!O55,Formulas!P55+2),"")))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IFERROR(INDEX(Datos!$A$2:$K$102,Formulas!S54,RIGHT(Formulas!U54)+2),"")))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IFERROR(INDEX(Datos!$A$2:$K$102,Formulas!T55,Formulas!U55+2),"")))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IFERROR(INDEX(Datos!$A$2:$K$102,Formulas!X54,RIGHT(Formulas!Z54)+2),"")))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IFERROR(INDEX(Datos!$A$2:$K$102,Formulas!Y55,Formulas!Z55+2),"")))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IFERROR(INDEX(Datos!$A$2:$K$102,Formulas!AC54,RIGHT(Formulas!AE54)+2),"")))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IFERROR(INDEX(Datos!$A$2:$K$102,Formulas!AD55,Formulas!AE55+2),"")))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IFERROR(INDEX(Datos!$A$2:$K$102,Formulas!AH54,RIGHT(Formulas!AJ54)+2),"")))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IFERROR(INDEX(Datos!$A$2:$K$102,Formulas!AI55,Formulas!AJ55+2),"")))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IFERROR(INDEX(Datos!$A$2:$K$102,Formulas!AM54,RIGHT(Formulas!AO54)+2),"")))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IFERROR(INDEX(Datos!$A$2:$K$102,Formulas!AN55,Formulas!AO55+2),"")))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IFERROR(INDEX(Datos!$A$2:$K$102,Formulas!AR54,RIGHT(Formulas!AT54)+2),"")))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IFERROR(INDEX(Datos!$A$2:$K$102,Formulas!AS55,Formulas!AT55+2),"")))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IFERROR(INDEX(Datos!$A$2:$K$102,Formulas!AW54,RIGHT(Formulas!AY54)+2),"")))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IFERROR(INDEX(Datos!$A$2:$K$102,Formulas!AX55,Formulas!AY55+2),"")))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IFERROR(INDEX(Datos!$A$2:$K$102,Formulas!D55,RIGHT(Formulas!F55)+2),"")))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IFERROR(INDEX(Datos!$A$2:$K$102,Formulas!E56,Formulas!F56+2),"")))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IFERROR(INDEX(Datos!$A$2:$K$102,Formulas!I55,RIGHT(Formulas!K55)+2),"")))</f>
        <v>Madellyn Tasipanta</v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IFERROR(INDEX(Datos!$A$2:$K$102,Formulas!J56,Formulas!K56+2),"")))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IFERROR(INDEX(Datos!$A$2:$K$102,Formulas!N55,RIGHT(Formulas!P55)+2),"")))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IFERROR(INDEX(Datos!$A$2:$K$102,Formulas!O56,Formulas!P56+2),"")))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IFERROR(INDEX(Datos!$A$2:$K$102,Formulas!S55,RIGHT(Formulas!U55)+2),"")))</f>
        <v>Ing. Jenny Ruiz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IFERROR(INDEX(Datos!$A$2:$K$102,Formulas!T56,Formulas!U56+2),"")))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IFERROR(INDEX(Datos!$A$2:$K$102,Formulas!X55,RIGHT(Formulas!Z55)+2),"")))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IFERROR(INDEX(Datos!$A$2:$K$102,Formulas!Y56,Formulas!Z56+2),"")))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IFERROR(INDEX(Datos!$A$2:$K$102,Formulas!AC55,RIGHT(Formulas!AE55)+2),"")))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IFERROR(INDEX(Datos!$A$2:$K$102,Formulas!AD56,Formulas!AE56+2),"")))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IFERROR(INDEX(Datos!$A$2:$K$102,Formulas!AH55,RIGHT(Formulas!AJ55)+2),"")))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IFERROR(INDEX(Datos!$A$2:$K$102,Formulas!AI56,Formulas!AJ56+2),"")))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IFERROR(INDEX(Datos!$A$2:$K$102,Formulas!AM55,RIGHT(Formulas!AO55)+2),"")))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IFERROR(INDEX(Datos!$A$2:$K$102,Formulas!AN56,Formulas!AO56+2),"")))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IFERROR(INDEX(Datos!$A$2:$K$102,Formulas!AR55,RIGHT(Formulas!AT55)+2),"")))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IFERROR(INDEX(Datos!$A$2:$K$102,Formulas!AS56,Formulas!AT56+2),"")))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IFERROR(INDEX(Datos!$A$2:$K$102,Formulas!AW55,RIGHT(Formulas!AY55)+2),"")))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IFERROR(INDEX(Datos!$A$2:$K$102,Formulas!AX56,Formulas!AY56+2),"")))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IFERROR(INDEX(Datos!$A$2:$K$102,Formulas!D56,RIGHT(Formulas!F56)+2),"")))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IFERROR(INDEX(Datos!$A$2:$K$102,Formulas!E57,Formulas!F57+2),"")))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IFERROR(INDEX(Datos!$A$2:$K$102,Formulas!I56,RIGHT(Formulas!K56)+2),"")))</f>
        <v/>
      </c>
      <c r="J59" s="113" t="e" cm="1">
        <f t="array" aca="1" ref="J59" ca="1">IF(OR(Formulas!K57=0,Formulas!K57=""),"",HYPERLINK("["&amp;Archivo_Nombre&amp;"]Datos!"&amp;LEFT(SUBSTITUTE(ADDRESS(1,Formulas!K57+2),"$",""))&amp;Formulas!J57+1,
IFERROR(INDEX(Datos!$A$2:$K$102,Formulas!J57,Formulas!K57+2),"")))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IFERROR(INDEX(Datos!$A$2:$K$102,Formulas!N56,RIGHT(Formulas!P56)+2),"")))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IFERROR(INDEX(Datos!$A$2:$K$102,Formulas!O57,Formulas!P57+2),"")))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IFERROR(INDEX(Datos!$A$2:$K$102,Formulas!S56,RIGHT(Formulas!U56)+2),"")))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IFERROR(INDEX(Datos!$A$2:$K$102,Formulas!T57,Formulas!U57+2),"")))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IFERROR(INDEX(Datos!$A$2:$K$102,Formulas!X56,RIGHT(Formulas!Z56)+2),"")))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IFERROR(INDEX(Datos!$A$2:$K$102,Formulas!Y57,Formulas!Z57+2),"")))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IFERROR(INDEX(Datos!$A$2:$K$102,Formulas!AC56,RIGHT(Formulas!AE56)+2),"")))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IFERROR(INDEX(Datos!$A$2:$K$102,Formulas!AD57,Formulas!AE57+2),"")))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IFERROR(INDEX(Datos!$A$2:$K$102,Formulas!AH56,RIGHT(Formulas!AJ56)+2),"")))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IFERROR(INDEX(Datos!$A$2:$K$102,Formulas!AI57,Formulas!AJ57+2),"")))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IFERROR(INDEX(Datos!$A$2:$K$102,Formulas!AM56,RIGHT(Formulas!AO56)+2),"")))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IFERROR(INDEX(Datos!$A$2:$K$102,Formulas!AN57,Formulas!AO57+2),"")))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IFERROR(INDEX(Datos!$A$2:$K$102,Formulas!AR56,RIGHT(Formulas!AT56)+2),"")))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IFERROR(INDEX(Datos!$A$2:$K$102,Formulas!AS57,Formulas!AT57+2),"")))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IFERROR(INDEX(Datos!$A$2:$K$102,Formulas!AW56,RIGHT(Formulas!AY56)+2),"")))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IFERROR(INDEX(Datos!$A$2:$K$102,Formulas!AX57,Formulas!AY57+2),"")))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IFERROR(INDEX(Datos!$A$2:$K$102,Formulas!D57,RIGHT(Formulas!F57)+2),"")))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IFERROR(INDEX(Datos!$A$2:$K$102,Formulas!E58,Formulas!F58+2),"")))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63:</v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IFERROR(INDEX(Datos!$A$2:$K$102,Formulas!I57,RIGHT(Formulas!K57)+2),"")))</f>
        <v>REQ007-2 Comprobar que el contrato no exista previamente.</v>
      </c>
      <c r="J60" s="113" t="e" cm="1">
        <f t="array" aca="1" ref="J60" ca="1">IF(OR(Formulas!K58=0,Formulas!K58=""),"",HYPERLINK("["&amp;Archivo_Nombre&amp;"]Datos!"&amp;LEFT(SUBSTITUTE(ADDRESS(1,Formulas!K58+2),"$",""))&amp;Formulas!J58+1,
IFERROR(INDEX(Datos!$A$2:$K$102,Formulas!J58,Formulas!K58+2),"")))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IFERROR(INDEX(Datos!$A$2:$K$102,Formulas!N57,RIGHT(Formulas!P57)+2),"")))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IFERROR(INDEX(Datos!$A$2:$K$102,Formulas!O58,Formulas!P58+2),"")))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52: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IFERROR(INDEX(Datos!$A$2:$K$102,Formulas!S57,RIGHT(Formulas!U57)+2),"")))</f>
        <v>Revisión de presentación de proyectos con funcionalidad SPRINT1,2,3...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IFERROR(INDEX(Datos!$A$2:$K$102,Formulas!T58,Formulas!U58+2),"")))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IFERROR(INDEX(Datos!$A$2:$K$102,Formulas!X57,RIGHT(Formulas!Z57)+2),"")))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IFERROR(INDEX(Datos!$A$2:$K$102,Formulas!Y58,Formulas!Z58+2),"")))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IFERROR(INDEX(Datos!$A$2:$K$102,Formulas!AC57,RIGHT(Formulas!AE57)+2),"")))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IFERROR(INDEX(Datos!$A$2:$K$102,Formulas!AD58,Formulas!AE58+2),"")))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IFERROR(INDEX(Datos!$A$2:$K$102,Formulas!AH57,RIGHT(Formulas!AJ57)+2),"")))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IFERROR(INDEX(Datos!$A$2:$K$102,Formulas!AI58,Formulas!AJ58+2),"")))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IFERROR(INDEX(Datos!$A$2:$K$102,Formulas!AM57,RIGHT(Formulas!AO57)+2),"")))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IFERROR(INDEX(Datos!$A$2:$K$102,Formulas!AN58,Formulas!AO58+2),"")))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IFERROR(INDEX(Datos!$A$2:$K$102,Formulas!AR57,RIGHT(Formulas!AT57)+2),"")))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IFERROR(INDEX(Datos!$A$2:$K$102,Formulas!AS58,Formulas!AT58+2),"")))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IFERROR(INDEX(Datos!$A$2:$K$102,Formulas!AW57,RIGHT(Formulas!AY57)+2),"")))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IFERROR(INDEX(Datos!$A$2:$K$102,Formulas!AX58,Formulas!AY58+2),"")))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IFERROR(INDEX(Datos!$A$2:$K$102,Formulas!D58,RIGHT(Formulas!F58)+2),"")))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IFERROR(INDEX(Datos!$A$2:$K$102,Formulas!E59,Formulas!F59+2),"")))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3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IFERROR(INDEX(Datos!$A$2:$K$102,Formulas!I58,RIGHT(Formulas!K58)+2),"")))</f>
        <v>0</v>
      </c>
      <c r="J61" s="113" t="e" cm="1">
        <f t="array" aca="1" ref="J61" ca="1">IF(OR(Formulas!K59=0,Formulas!K59=""),"",HYPERLINK("["&amp;Archivo_Nombre&amp;"]Datos!"&amp;LEFT(SUBSTITUTE(ADDRESS(1,Formulas!K59+2),"$",""))&amp;Formulas!J59+1,
IFERROR(INDEX(Datos!$A$2:$K$102,Formulas!J59,Formulas!K59+2),"")))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IFERROR(INDEX(Datos!$A$2:$K$102,Formulas!N58,RIGHT(Formulas!P58)+2),"")))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IFERROR(INDEX(Datos!$A$2:$K$102,Formulas!O59,Formulas!P59+2),"")))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IFERROR(INDEX(Datos!$A$2:$K$102,Formulas!S58,RIGHT(Formulas!U58)+2),"")))</f>
        <v>Revisión por parte de la ingeniera guía del proyecto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IFERROR(INDEX(Datos!$A$2:$K$102,Formulas!T59,Formulas!U59+2),"")))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IFERROR(INDEX(Datos!$A$2:$K$102,Formulas!X58,RIGHT(Formulas!Z58)+2),"")))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IFERROR(INDEX(Datos!$A$2:$K$102,Formulas!Y59,Formulas!Z59+2),"")))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IFERROR(INDEX(Datos!$A$2:$K$102,Formulas!AC58,RIGHT(Formulas!AE58)+2),"")))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IFERROR(INDEX(Datos!$A$2:$K$102,Formulas!AD59,Formulas!AE59+2),"")))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IFERROR(INDEX(Datos!$A$2:$K$102,Formulas!AH58,RIGHT(Formulas!AJ58)+2),"")))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IFERROR(INDEX(Datos!$A$2:$K$102,Formulas!AI59,Formulas!AJ59+2),"")))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IFERROR(INDEX(Datos!$A$2:$K$102,Formulas!AM58,RIGHT(Formulas!AO58)+2),"")))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IFERROR(INDEX(Datos!$A$2:$K$102,Formulas!AN59,Formulas!AO59+2),"")))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IFERROR(INDEX(Datos!$A$2:$K$102,Formulas!AR58,RIGHT(Formulas!AT58)+2),"")))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IFERROR(INDEX(Datos!$A$2:$K$102,Formulas!AS59,Formulas!AT59+2),"")))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IFERROR(INDEX(Datos!$A$2:$K$102,Formulas!AW58,RIGHT(Formulas!AY58)+2),"")))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IFERROR(INDEX(Datos!$A$2:$K$102,Formulas!AX59,Formulas!AY59+2),"")))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IFERROR(INDEX(Datos!$A$2:$K$102,Formulas!D59,RIGHT(Formulas!F59)+2),"")))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IFERROR(INDEX(Datos!$A$2:$K$102,Formulas!E60,Formulas!F60+2),"")))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3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IFERROR(INDEX(Datos!$A$2:$K$102,Formulas!I59,RIGHT(Formulas!K59)+2),"")))</f>
        <v>46001</v>
      </c>
      <c r="J62" s="113" t="e" cm="1">
        <f t="array" aca="1" ref="J62" ca="1">IF(OR(Formulas!K60=0,Formulas!K60=""),"",HYPERLINK("["&amp;Archivo_Nombre&amp;"]Datos!"&amp;LEFT(SUBSTITUTE(ADDRESS(1,Formulas!K60+2),"$",""))&amp;Formulas!J60+1,
IFERROR(INDEX(Datos!$A$2:$K$102,Formulas!J60,Formulas!K60+2),"")))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IFERROR(INDEX(Datos!$A$2:$K$102,Formulas!N59,RIGHT(Formulas!P59)+2),"")))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IFERROR(INDEX(Datos!$A$2:$K$102,Formulas!O60,Formulas!P60+2),"")))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IFERROR(INDEX(Datos!$A$2:$K$102,Formulas!S59,RIGHT(Formulas!U59)+2),"")))</f>
        <v>46007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IFERROR(INDEX(Datos!$A$2:$K$102,Formulas!T60,Formulas!U60+2),"")))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IFERROR(INDEX(Datos!$A$2:$K$102,Formulas!X59,RIGHT(Formulas!Z59)+2),"")))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IFERROR(INDEX(Datos!$A$2:$K$102,Formulas!Y60,Formulas!Z60+2),"")))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IFERROR(INDEX(Datos!$A$2:$K$102,Formulas!AC59,RIGHT(Formulas!AE59)+2),"")))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IFERROR(INDEX(Datos!$A$2:$K$102,Formulas!AD60,Formulas!AE60+2),"")))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IFERROR(INDEX(Datos!$A$2:$K$102,Formulas!AH59,RIGHT(Formulas!AJ59)+2),"")))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IFERROR(INDEX(Datos!$A$2:$K$102,Formulas!AI60,Formulas!AJ60+2),"")))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IFERROR(INDEX(Datos!$A$2:$K$102,Formulas!AM59,RIGHT(Formulas!AO59)+2),"")))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IFERROR(INDEX(Datos!$A$2:$K$102,Formulas!AN60,Formulas!AO60+2),"")))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IFERROR(INDEX(Datos!$A$2:$K$102,Formulas!AR59,RIGHT(Formulas!AT59)+2),"")))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IFERROR(INDEX(Datos!$A$2:$K$102,Formulas!AS60,Formulas!AT60+2),"")))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IFERROR(INDEX(Datos!$A$2:$K$102,Formulas!AW59,RIGHT(Formulas!AY59)+2),"")))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IFERROR(INDEX(Datos!$A$2:$K$102,Formulas!AX60,Formulas!AY60+2),"")))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IFERROR(INDEX(Datos!$A$2:$K$102,Formulas!D60,RIGHT(Formulas!F60)+2),"")))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IFERROR(INDEX(Datos!$A$2:$K$102,Formulas!E61,Formulas!F61+2),"")))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3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IFERROR(INDEX(Datos!$A$2:$K$102,Formulas!I60,RIGHT(Formulas!K60)+2),"")))</f>
        <v>46043</v>
      </c>
      <c r="J63" s="113" t="e" cm="1">
        <f t="array" aca="1" ref="J63" ca="1">IF(OR(Formulas!K61=0,Formulas!K61=""),"",HYPERLINK("["&amp;Archivo_Nombre&amp;"]Datos!"&amp;LEFT(SUBSTITUTE(ADDRESS(1,Formulas!K61+2),"$",""))&amp;Formulas!J61+1,
IFERROR(INDEX(Datos!$A$2:$K$102,Formulas!J61,Formulas!K61+2),"")))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IFERROR(INDEX(Datos!$A$2:$K$102,Formulas!N60,RIGHT(Formulas!P60)+2),"")))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IFERROR(INDEX(Datos!$A$2:$K$102,Formulas!O61,Formulas!P61+2),"")))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IFERROR(INDEX(Datos!$A$2:$K$102,Formulas!S60,RIGHT(Formulas!U60)+2),"")))</f>
        <v>46007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IFERROR(INDEX(Datos!$A$2:$K$102,Formulas!T61,Formulas!U61+2),"")))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IFERROR(INDEX(Datos!$A$2:$K$102,Formulas!X60,RIGHT(Formulas!Z60)+2),"")))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IFERROR(INDEX(Datos!$A$2:$K$102,Formulas!Y61,Formulas!Z61+2),"")))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IFERROR(INDEX(Datos!$A$2:$K$102,Formulas!AC60,RIGHT(Formulas!AE60)+2),"")))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IFERROR(INDEX(Datos!$A$2:$K$102,Formulas!AD61,Formulas!AE61+2),"")))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IFERROR(INDEX(Datos!$A$2:$K$102,Formulas!AH60,RIGHT(Formulas!AJ60)+2),"")))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IFERROR(INDEX(Datos!$A$2:$K$102,Formulas!AI61,Formulas!AJ61+2),"")))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IFERROR(INDEX(Datos!$A$2:$K$102,Formulas!AM60,RIGHT(Formulas!AO60)+2),"")))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IFERROR(INDEX(Datos!$A$2:$K$102,Formulas!AN61,Formulas!AO61+2),"")))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IFERROR(INDEX(Datos!$A$2:$K$102,Formulas!AR60,RIGHT(Formulas!AT60)+2),"")))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IFERROR(INDEX(Datos!$A$2:$K$102,Formulas!AS61,Formulas!AT61+2),"")))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IFERROR(INDEX(Datos!$A$2:$K$102,Formulas!AW60,RIGHT(Formulas!AY60)+2),"")))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IFERROR(INDEX(Datos!$A$2:$K$102,Formulas!AX61,Formulas!AY61+2),"")))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IFERROR(INDEX(Datos!$A$2:$K$102,Formulas!D61,RIGHT(Formulas!F61)+2),"")))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IFERROR(INDEX(Datos!$A$2:$K$102,Formulas!E62,Formulas!F62+2),"")))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3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IFERROR(INDEX(Datos!$A$2:$K$102,Formulas!I61,RIGHT(Formulas!K61)+2),"")))</f>
        <v>46002</v>
      </c>
      <c r="J64" s="113" t="e" cm="1">
        <f t="array" aca="1" ref="J64" ca="1">IF(OR(Formulas!K62=0,Formulas!K62=""),"",HYPERLINK("["&amp;Archivo_Nombre&amp;"]Datos!"&amp;LEFT(SUBSTITUTE(ADDRESS(1,Formulas!K62+2),"$",""))&amp;Formulas!J62+1,
IFERROR(INDEX(Datos!$A$2:$K$102,Formulas!J62,Formulas!K62+2),"")))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IFERROR(INDEX(Datos!$A$2:$K$102,Formulas!N61,RIGHT(Formulas!P61)+2),"")))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IFERROR(INDEX(Datos!$A$2:$K$102,Formulas!O62,Formulas!P62+2),"")))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IFERROR(INDEX(Datos!$A$2:$K$102,Formulas!S61,RIGHT(Formulas!U61)+2),"")))</f>
        <v>46007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IFERROR(INDEX(Datos!$A$2:$K$102,Formulas!T62,Formulas!U62+2),"")))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IFERROR(INDEX(Datos!$A$2:$K$102,Formulas!X61,RIGHT(Formulas!Z61)+2),"")))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IFERROR(INDEX(Datos!$A$2:$K$102,Formulas!Y62,Formulas!Z62+2),"")))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IFERROR(INDEX(Datos!$A$2:$K$102,Formulas!AC61,RIGHT(Formulas!AE61)+2),"")))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IFERROR(INDEX(Datos!$A$2:$K$102,Formulas!AD62,Formulas!AE62+2),"")))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IFERROR(INDEX(Datos!$A$2:$K$102,Formulas!AH61,RIGHT(Formulas!AJ61)+2),"")))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IFERROR(INDEX(Datos!$A$2:$K$102,Formulas!AI62,Formulas!AJ62+2),"")))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IFERROR(INDEX(Datos!$A$2:$K$102,Formulas!AM61,RIGHT(Formulas!AO61)+2),"")))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IFERROR(INDEX(Datos!$A$2:$K$102,Formulas!AN62,Formulas!AO62+2),"")))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IFERROR(INDEX(Datos!$A$2:$K$102,Formulas!AR61,RIGHT(Formulas!AT61)+2),"")))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IFERROR(INDEX(Datos!$A$2:$K$102,Formulas!AS62,Formulas!AT62+2),"")))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IFERROR(INDEX(Datos!$A$2:$K$102,Formulas!AW61,RIGHT(Formulas!AY61)+2),"")))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IFERROR(INDEX(Datos!$A$2:$K$102,Formulas!AX62,Formulas!AY62+2),"")))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IFERROR(INDEX(Datos!$A$2:$K$102,Formulas!D62,RIGHT(Formulas!F62)+2),"")))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IFERROR(INDEX(Datos!$A$2:$K$102,Formulas!E63,Formulas!F63+2),"")))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IFERROR(INDEX(Datos!$A$2:$K$102,Formulas!I62,RIGHT(Formulas!K62)+2),"")))</f>
        <v>2 días</v>
      </c>
      <c r="J65" s="113" t="e" cm="1">
        <f t="array" aca="1" ref="J65" ca="1">IF(OR(Formulas!K63=0,Formulas!K63=""),"",HYPERLINK("["&amp;Archivo_Nombre&amp;"]Datos!"&amp;LEFT(SUBSTITUTE(ADDRESS(1,Formulas!K63+2),"$",""))&amp;Formulas!J63+1,
IFERROR(INDEX(Datos!$A$2:$K$102,Formulas!J63,Formulas!K63+2),"")))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IFERROR(INDEX(Datos!$A$2:$K$102,Formulas!N62,RIGHT(Formulas!P62)+2),"")))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IFERROR(INDEX(Datos!$A$2:$K$102,Formulas!O63,Formulas!P63+2),"")))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IFERROR(INDEX(Datos!$A$2:$K$102,Formulas!S62,RIGHT(Formulas!U62)+2),"")))</f>
        <v>1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IFERROR(INDEX(Datos!$A$2:$K$102,Formulas!T63,Formulas!U63+2),"")))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IFERROR(INDEX(Datos!$A$2:$K$102,Formulas!X62,RIGHT(Formulas!Z62)+2),"")))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IFERROR(INDEX(Datos!$A$2:$K$102,Formulas!Y63,Formulas!Z63+2),"")))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IFERROR(INDEX(Datos!$A$2:$K$102,Formulas!AC62,RIGHT(Formulas!AE62)+2),"")))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IFERROR(INDEX(Datos!$A$2:$K$102,Formulas!AD63,Formulas!AE63+2),"")))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IFERROR(INDEX(Datos!$A$2:$K$102,Formulas!AH62,RIGHT(Formulas!AJ62)+2),"")))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IFERROR(INDEX(Datos!$A$2:$K$102,Formulas!AI63,Formulas!AJ63+2),"")))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IFERROR(INDEX(Datos!$A$2:$K$102,Formulas!AM62,RIGHT(Formulas!AO62)+2),"")))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IFERROR(INDEX(Datos!$A$2:$K$102,Formulas!AN63,Formulas!AO63+2),"")))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IFERROR(INDEX(Datos!$A$2:$K$102,Formulas!AR62,RIGHT(Formulas!AT62)+2),"")))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IFERROR(INDEX(Datos!$A$2:$K$102,Formulas!AS63,Formulas!AT63+2),"")))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IFERROR(INDEX(Datos!$A$2:$K$102,Formulas!AW62,RIGHT(Formulas!AY62)+2),"")))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IFERROR(INDEX(Datos!$A$2:$K$102,Formulas!AX63,Formulas!AY63+2),"")))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IFERROR(INDEX(Datos!$A$2:$K$102,Formulas!D63,RIGHT(Formulas!F63)+2),"")))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IFERROR(INDEX(Datos!$A$2:$K$102,Formulas!E64,Formulas!F64+2),"")))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IFERROR(INDEX(Datos!$A$2:$K$102,Formulas!I63,RIGHT(Formulas!K63)+2),"")))</f>
        <v>0 días</v>
      </c>
      <c r="J66" s="113" t="e" cm="1">
        <f t="array" aca="1" ref="J66" ca="1">IF(OR(Formulas!K64=0,Formulas!K64=""),"",HYPERLINK("["&amp;Archivo_Nombre&amp;"]Datos!"&amp;LEFT(SUBSTITUTE(ADDRESS(1,Formulas!K64+2),"$",""))&amp;Formulas!J64+1,
IFERROR(INDEX(Datos!$A$2:$K$102,Formulas!J64,Formulas!K64+2),"")))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IFERROR(INDEX(Datos!$A$2:$K$102,Formulas!N63,RIGHT(Formulas!P63)+2),"")))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IFERROR(INDEX(Datos!$A$2:$K$102,Formulas!O64,Formulas!P64+2),"")))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IFERROR(INDEX(Datos!$A$2:$K$102,Formulas!S63,RIGHT(Formulas!U63)+2),"")))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IFERROR(INDEX(Datos!$A$2:$K$102,Formulas!T64,Formulas!U64+2),"")))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IFERROR(INDEX(Datos!$A$2:$K$102,Formulas!X63,RIGHT(Formulas!Z63)+2),"")))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IFERROR(INDEX(Datos!$A$2:$K$102,Formulas!Y64,Formulas!Z64+2),"")))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IFERROR(INDEX(Datos!$A$2:$K$102,Formulas!AC63,RIGHT(Formulas!AE63)+2),"")))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IFERROR(INDEX(Datos!$A$2:$K$102,Formulas!AD64,Formulas!AE64+2),"")))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IFERROR(INDEX(Datos!$A$2:$K$102,Formulas!AH63,RIGHT(Formulas!AJ63)+2),"")))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IFERROR(INDEX(Datos!$A$2:$K$102,Formulas!AI64,Formulas!AJ64+2),"")))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IFERROR(INDEX(Datos!$A$2:$K$102,Formulas!AM63,RIGHT(Formulas!AO63)+2),"")))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IFERROR(INDEX(Datos!$A$2:$K$102,Formulas!AN64,Formulas!AO64+2),"")))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IFERROR(INDEX(Datos!$A$2:$K$102,Formulas!AR63,RIGHT(Formulas!AT63)+2),"")))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IFERROR(INDEX(Datos!$A$2:$K$102,Formulas!AS64,Formulas!AT64+2),"")))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IFERROR(INDEX(Datos!$A$2:$K$102,Formulas!AW63,RIGHT(Formulas!AY63)+2),"")))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IFERROR(INDEX(Datos!$A$2:$K$102,Formulas!AX64,Formulas!AY64+2),"")))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IFERROR(INDEX(Datos!$A$2:$K$102,Formulas!D64,RIGHT(Formulas!F64)+2),"")))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IFERROR(INDEX(Datos!$A$2:$K$102,Formulas!E65,Formulas!F65+2),"")))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IFERROR(INDEX(Datos!$A$2:$K$102,Formulas!I64,RIGHT(Formulas!K64)+2),"")))</f>
        <v>Madellyn Tasipanta</v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IFERROR(INDEX(Datos!$A$2:$K$102,Formulas!J65,Formulas!K65+2),"")))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IFERROR(INDEX(Datos!$A$2:$K$102,Formulas!N64,RIGHT(Formulas!P64)+2),"")))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IFERROR(INDEX(Datos!$A$2:$K$102,Formulas!O65,Formulas!P65+2),"")))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IFERROR(INDEX(Datos!$A$2:$K$102,Formulas!S64,RIGHT(Formulas!U64)+2),"")))</f>
        <v>Ing. Jenny Ruiz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IFERROR(INDEX(Datos!$A$2:$K$102,Formulas!T65,Formulas!U65+2),"")))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IFERROR(INDEX(Datos!$A$2:$K$102,Formulas!X64,RIGHT(Formulas!Z64)+2),"")))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IFERROR(INDEX(Datos!$A$2:$K$102,Formulas!Y65,Formulas!Z65+2),"")))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IFERROR(INDEX(Datos!$A$2:$K$102,Formulas!AC64,RIGHT(Formulas!AE64)+2),"")))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IFERROR(INDEX(Datos!$A$2:$K$102,Formulas!AD65,Formulas!AE65+2),"")))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IFERROR(INDEX(Datos!$A$2:$K$102,Formulas!AH64,RIGHT(Formulas!AJ64)+2),"")))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IFERROR(INDEX(Datos!$A$2:$K$102,Formulas!AI65,Formulas!AJ65+2),"")))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IFERROR(INDEX(Datos!$A$2:$K$102,Formulas!AM64,RIGHT(Formulas!AO64)+2),"")))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IFERROR(INDEX(Datos!$A$2:$K$102,Formulas!AN65,Formulas!AO65+2),"")))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IFERROR(INDEX(Datos!$A$2:$K$102,Formulas!AR64,RIGHT(Formulas!AT64)+2),"")))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IFERROR(INDEX(Datos!$A$2:$K$102,Formulas!AS65,Formulas!AT65+2),"")))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IFERROR(INDEX(Datos!$A$2:$K$102,Formulas!AW64,RIGHT(Formulas!AY64)+2),"")))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IFERROR(INDEX(Datos!$A$2:$K$102,Formulas!AX65,Formulas!AY65+2),"")))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IFERROR(INDEX(Datos!$A$2:$K$102,Formulas!D65,RIGHT(Formulas!F65)+2),"")))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IFERROR(INDEX(Datos!$A$2:$K$102,Formulas!E66,Formulas!F66+2),"")))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IFERROR(INDEX(Datos!$A$2:$K$102,Formulas!I65,RIGHT(Formulas!K65)+2),"")))</f>
        <v/>
      </c>
      <c r="J68" s="113" t="e" cm="1">
        <f t="array" aca="1" ref="J68" ca="1">IF(OR(Formulas!K66=0,Formulas!K66=""),"",HYPERLINK("["&amp;Archivo_Nombre&amp;"]Datos!"&amp;LEFT(SUBSTITUTE(ADDRESS(1,Formulas!K66+2),"$",""))&amp;Formulas!J66+1,
IFERROR(INDEX(Datos!$A$2:$K$102,Formulas!J66,Formulas!K66+2),"")))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IFERROR(INDEX(Datos!$A$2:$K$102,Formulas!N65,RIGHT(Formulas!P65)+2),"")))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IFERROR(INDEX(Datos!$A$2:$K$102,Formulas!O66,Formulas!P66+2),"")))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IFERROR(INDEX(Datos!$A$2:$K$102,Formulas!S65,RIGHT(Formulas!U65)+2),"")))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IFERROR(INDEX(Datos!$A$2:$K$102,Formulas!T66,Formulas!U66+2),"")))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IFERROR(INDEX(Datos!$A$2:$K$102,Formulas!X65,RIGHT(Formulas!Z65)+2),"")))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IFERROR(INDEX(Datos!$A$2:$K$102,Formulas!Y66,Formulas!Z66+2),"")))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IFERROR(INDEX(Datos!$A$2:$K$102,Formulas!AC65,RIGHT(Formulas!AE65)+2),"")))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IFERROR(INDEX(Datos!$A$2:$K$102,Formulas!AD66,Formulas!AE66+2),"")))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IFERROR(INDEX(Datos!$A$2:$K$102,Formulas!AH65,RIGHT(Formulas!AJ65)+2),"")))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IFERROR(INDEX(Datos!$A$2:$K$102,Formulas!AI66,Formulas!AJ66+2),"")))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IFERROR(INDEX(Datos!$A$2:$K$102,Formulas!AM65,RIGHT(Formulas!AO65)+2),"")))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IFERROR(INDEX(Datos!$A$2:$K$102,Formulas!AN66,Formulas!AO66+2),"")))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IFERROR(INDEX(Datos!$A$2:$K$102,Formulas!AR65,RIGHT(Formulas!AT65)+2),"")))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IFERROR(INDEX(Datos!$A$2:$K$102,Formulas!AS66,Formulas!AT66+2),"")))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IFERROR(INDEX(Datos!$A$2:$K$102,Formulas!AW65,RIGHT(Formulas!AY65)+2),"")))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IFERROR(INDEX(Datos!$A$2:$K$102,Formulas!AX66,Formulas!AY66+2),"")))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IFERROR(INDEX(Datos!$A$2:$K$102,Formulas!D66,RIGHT(Formulas!F66)+2),"")))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IFERROR(INDEX(Datos!$A$2:$K$102,Formulas!E67,Formulas!F67+2),"")))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62:</v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IFERROR(INDEX(Datos!$A$2:$K$102,Formulas!I66,RIGHT(Formulas!K66)+2),"")))</f>
        <v>REQ007-1 Revisar que todos los campos requeridos estén completos.</v>
      </c>
      <c r="J69" s="113" t="e" cm="1">
        <f t="array" aca="1" ref="J69" ca="1">IF(OR(Formulas!K67=0,Formulas!K67=""),"",HYPERLINK("["&amp;Archivo_Nombre&amp;"]Datos!"&amp;LEFT(SUBSTITUTE(ADDRESS(1,Formulas!K67+2),"$",""))&amp;Formulas!J67+1,
IFERROR(INDEX(Datos!$A$2:$K$102,Formulas!J67,Formulas!K67+2),"")))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IFERROR(INDEX(Datos!$A$2:$K$102,Formulas!N66,RIGHT(Formulas!P66)+2),"")))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IFERROR(INDEX(Datos!$A$2:$K$102,Formulas!O67,Formulas!P67+2),"")))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51: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IFERROR(INDEX(Datos!$A$2:$K$102,Formulas!S66,RIGHT(Formulas!U66)+2),"")))</f>
        <v>Presentación de proyectos con funcionalidad SPRINT1,2,3...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IFERROR(INDEX(Datos!$A$2:$K$102,Formulas!T67,Formulas!U67+2),"")))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IFERROR(INDEX(Datos!$A$2:$K$102,Formulas!X66,RIGHT(Formulas!Z66)+2),"")))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IFERROR(INDEX(Datos!$A$2:$K$102,Formulas!Y67,Formulas!Z67+2),"")))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IFERROR(INDEX(Datos!$A$2:$K$102,Formulas!AC66,RIGHT(Formulas!AE66)+2),"")))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IFERROR(INDEX(Datos!$A$2:$K$102,Formulas!AD67,Formulas!AE67+2),"")))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IFERROR(INDEX(Datos!$A$2:$K$102,Formulas!AH66,RIGHT(Formulas!AJ66)+2),"")))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IFERROR(INDEX(Datos!$A$2:$K$102,Formulas!AI67,Formulas!AJ67+2),"")))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IFERROR(INDEX(Datos!$A$2:$K$102,Formulas!AM66,RIGHT(Formulas!AO66)+2),"")))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IFERROR(INDEX(Datos!$A$2:$K$102,Formulas!AN67,Formulas!AO67+2),"")))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IFERROR(INDEX(Datos!$A$2:$K$102,Formulas!AR66,RIGHT(Formulas!AT66)+2),"")))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IFERROR(INDEX(Datos!$A$2:$K$102,Formulas!AS67,Formulas!AT67+2),"")))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IFERROR(INDEX(Datos!$A$2:$K$102,Formulas!AW66,RIGHT(Formulas!AY66)+2),"")))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IFERROR(INDEX(Datos!$A$2:$K$102,Formulas!AX67,Formulas!AY67+2),"")))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IFERROR(INDEX(Datos!$A$2:$K$102,Formulas!D67,RIGHT(Formulas!F67)+2),"")))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IFERROR(INDEX(Datos!$A$2:$K$102,Formulas!E68,Formulas!F68+2),"")))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IFERROR(INDEX(Datos!$A$2:$K$102,Formulas!I67,RIGHT(Formulas!K67)+2),"")))</f>
        <v>Guardar contratos dentro del sistema</v>
      </c>
      <c r="J70" s="113" t="e" cm="1">
        <f t="array" aca="1" ref="J70" ca="1">IF(OR(Formulas!K68=0,Formulas!K68=""),"",HYPERLINK("["&amp;Archivo_Nombre&amp;"]Datos!"&amp;LEFT(SUBSTITUTE(ADDRESS(1,Formulas!K68+2),"$",""))&amp;Formulas!J68+1,
IFERROR(INDEX(Datos!$A$2:$K$102,Formulas!J68,Formulas!K68+2),"")))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IFERROR(INDEX(Datos!$A$2:$K$102,Formulas!N67,RIGHT(Formulas!P67)+2),"")))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IFERROR(INDEX(Datos!$A$2:$K$102,Formulas!O68,Formulas!P68+2),"")))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IFERROR(INDEX(Datos!$A$2:$K$102,Formulas!S67,RIGHT(Formulas!U67)+2),"")))</f>
        <v>Revisión por parte de la ingeniera guía del proyecto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IFERROR(INDEX(Datos!$A$2:$K$102,Formulas!T68,Formulas!U68+2),"")))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IFERROR(INDEX(Datos!$A$2:$K$102,Formulas!X67,RIGHT(Formulas!Z67)+2),"")))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IFERROR(INDEX(Datos!$A$2:$K$102,Formulas!Y68,Formulas!Z68+2),"")))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IFERROR(INDEX(Datos!$A$2:$K$102,Formulas!AC67,RIGHT(Formulas!AE67)+2),"")))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IFERROR(INDEX(Datos!$A$2:$K$102,Formulas!AD68,Formulas!AE68+2),"")))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IFERROR(INDEX(Datos!$A$2:$K$102,Formulas!AH67,RIGHT(Formulas!AJ67)+2),"")))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IFERROR(INDEX(Datos!$A$2:$K$102,Formulas!AI68,Formulas!AJ68+2),"")))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IFERROR(INDEX(Datos!$A$2:$K$102,Formulas!AM67,RIGHT(Formulas!AO67)+2),"")))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IFERROR(INDEX(Datos!$A$2:$K$102,Formulas!AN68,Formulas!AO68+2),"")))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IFERROR(INDEX(Datos!$A$2:$K$102,Formulas!AR67,RIGHT(Formulas!AT67)+2),"")))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IFERROR(INDEX(Datos!$A$2:$K$102,Formulas!AS68,Formulas!AT68+2),"")))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IFERROR(INDEX(Datos!$A$2:$K$102,Formulas!AW67,RIGHT(Formulas!AY67)+2),"")))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IFERROR(INDEX(Datos!$A$2:$K$102,Formulas!AX68,Formulas!AY68+2),"")))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IFERROR(INDEX(Datos!$A$2:$K$102,Formulas!D68,RIGHT(Formulas!F68)+2),"")))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IFERROR(INDEX(Datos!$A$2:$K$102,Formulas!E69,Formulas!F69+2),"")))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3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IFERROR(INDEX(Datos!$A$2:$K$102,Formulas!I68,RIGHT(Formulas!K68)+2),"")))</f>
        <v>46000</v>
      </c>
      <c r="J71" s="113" t="e" cm="1">
        <f t="array" aca="1" ref="J71" ca="1">IF(OR(Formulas!K69=0,Formulas!K69=""),"",HYPERLINK("["&amp;Archivo_Nombre&amp;"]Datos!"&amp;LEFT(SUBSTITUTE(ADDRESS(1,Formulas!K69+2),"$",""))&amp;Formulas!J69+1,
IFERROR(INDEX(Datos!$A$2:$K$102,Formulas!J69,Formulas!K69+2),"")))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IFERROR(INDEX(Datos!$A$2:$K$102,Formulas!N68,RIGHT(Formulas!P68)+2),"")))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IFERROR(INDEX(Datos!$A$2:$K$102,Formulas!O69,Formulas!P69+2),"")))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IFERROR(INDEX(Datos!$A$2:$K$102,Formulas!S68,RIGHT(Formulas!U68)+2),"")))</f>
        <v>46007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IFERROR(INDEX(Datos!$A$2:$K$102,Formulas!T69,Formulas!U69+2),"")))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IFERROR(INDEX(Datos!$A$2:$K$102,Formulas!X68,RIGHT(Formulas!Z68)+2),"")))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IFERROR(INDEX(Datos!$A$2:$K$102,Formulas!Y69,Formulas!Z69+2),"")))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IFERROR(INDEX(Datos!$A$2:$K$102,Formulas!AC68,RIGHT(Formulas!AE68)+2),"")))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IFERROR(INDEX(Datos!$A$2:$K$102,Formulas!AD69,Formulas!AE69+2),"")))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IFERROR(INDEX(Datos!$A$2:$K$102,Formulas!AH68,RIGHT(Formulas!AJ68)+2),"")))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IFERROR(INDEX(Datos!$A$2:$K$102,Formulas!AI69,Formulas!AJ69+2),"")))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IFERROR(INDEX(Datos!$A$2:$K$102,Formulas!AM68,RIGHT(Formulas!AO68)+2),"")))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IFERROR(INDEX(Datos!$A$2:$K$102,Formulas!AN69,Formulas!AO69+2),"")))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IFERROR(INDEX(Datos!$A$2:$K$102,Formulas!AR68,RIGHT(Formulas!AT68)+2),"")))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IFERROR(INDEX(Datos!$A$2:$K$102,Formulas!AS69,Formulas!AT69+2),"")))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IFERROR(INDEX(Datos!$A$2:$K$102,Formulas!AW68,RIGHT(Formulas!AY68)+2),"")))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IFERROR(INDEX(Datos!$A$2:$K$102,Formulas!AX69,Formulas!AY69+2),"")))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IFERROR(INDEX(Datos!$A$2:$K$102,Formulas!D69,RIGHT(Formulas!F69)+2),"")))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IFERROR(INDEX(Datos!$A$2:$K$102,Formulas!E70,Formulas!F70+2),"")))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3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IFERROR(INDEX(Datos!$A$2:$K$102,Formulas!I69,RIGHT(Formulas!K69)+2),"")))</f>
        <v>46043</v>
      </c>
      <c r="J72" s="113" t="e" cm="1">
        <f t="array" aca="1" ref="J72" ca="1">IF(OR(Formulas!K70=0,Formulas!K70=""),"",HYPERLINK("["&amp;Archivo_Nombre&amp;"]Datos!"&amp;LEFT(SUBSTITUTE(ADDRESS(1,Formulas!K70+2),"$",""))&amp;Formulas!J70+1,
IFERROR(INDEX(Datos!$A$2:$K$102,Formulas!J70,Formulas!K70+2),"")))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IFERROR(INDEX(Datos!$A$2:$K$102,Formulas!N69,RIGHT(Formulas!P69)+2),"")))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IFERROR(INDEX(Datos!$A$2:$K$102,Formulas!O70,Formulas!P70+2),"")))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IFERROR(INDEX(Datos!$A$2:$K$102,Formulas!S69,RIGHT(Formulas!U69)+2),"")))</f>
        <v>46007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IFERROR(INDEX(Datos!$A$2:$K$102,Formulas!T70,Formulas!U70+2),"")))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IFERROR(INDEX(Datos!$A$2:$K$102,Formulas!X69,RIGHT(Formulas!Z69)+2),"")))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IFERROR(INDEX(Datos!$A$2:$K$102,Formulas!Y70,Formulas!Z70+2),"")))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IFERROR(INDEX(Datos!$A$2:$K$102,Formulas!AC69,RIGHT(Formulas!AE69)+2),"")))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IFERROR(INDEX(Datos!$A$2:$K$102,Formulas!AD70,Formulas!AE70+2),"")))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IFERROR(INDEX(Datos!$A$2:$K$102,Formulas!AH69,RIGHT(Formulas!AJ69)+2),"")))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IFERROR(INDEX(Datos!$A$2:$K$102,Formulas!AI70,Formulas!AJ70+2),"")))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IFERROR(INDEX(Datos!$A$2:$K$102,Formulas!AM69,RIGHT(Formulas!AO69)+2),"")))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IFERROR(INDEX(Datos!$A$2:$K$102,Formulas!AN70,Formulas!AO70+2),"")))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IFERROR(INDEX(Datos!$A$2:$K$102,Formulas!AR69,RIGHT(Formulas!AT69)+2),"")))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IFERROR(INDEX(Datos!$A$2:$K$102,Formulas!AS70,Formulas!AT70+2),"")))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IFERROR(INDEX(Datos!$A$2:$K$102,Formulas!AW69,RIGHT(Formulas!AY69)+2),"")))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IFERROR(INDEX(Datos!$A$2:$K$102,Formulas!AX70,Formulas!AY70+2),"")))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IFERROR(INDEX(Datos!$A$2:$K$102,Formulas!D70,RIGHT(Formulas!F70)+2),"")))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IFERROR(INDEX(Datos!$A$2:$K$102,Formulas!E71,Formulas!F71+2),"")))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3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IFERROR(INDEX(Datos!$A$2:$K$102,Formulas!I70,RIGHT(Formulas!K70)+2),"")))</f>
        <v>46001</v>
      </c>
      <c r="J73" s="113" t="e" cm="1">
        <f t="array" aca="1" ref="J73" ca="1">IF(OR(Formulas!K71=0,Formulas!K71=""),"",HYPERLINK("["&amp;Archivo_Nombre&amp;"]Datos!"&amp;LEFT(SUBSTITUTE(ADDRESS(1,Formulas!K71+2),"$",""))&amp;Formulas!J71+1,
IFERROR(INDEX(Datos!$A$2:$K$102,Formulas!J71,Formulas!K71+2),"")))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IFERROR(INDEX(Datos!$A$2:$K$102,Formulas!N70,RIGHT(Formulas!P70)+2),"")))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IFERROR(INDEX(Datos!$A$2:$K$102,Formulas!O71,Formulas!P71+2),"")))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IFERROR(INDEX(Datos!$A$2:$K$102,Formulas!S70,RIGHT(Formulas!U70)+2),"")))</f>
        <v>46007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IFERROR(INDEX(Datos!$A$2:$K$102,Formulas!T71,Formulas!U71+2),"")))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IFERROR(INDEX(Datos!$A$2:$K$102,Formulas!X70,RIGHT(Formulas!Z70)+2),"")))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IFERROR(INDEX(Datos!$A$2:$K$102,Formulas!Y71,Formulas!Z71+2),"")))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IFERROR(INDEX(Datos!$A$2:$K$102,Formulas!AC70,RIGHT(Formulas!AE70)+2),"")))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IFERROR(INDEX(Datos!$A$2:$K$102,Formulas!AD71,Formulas!AE71+2),"")))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IFERROR(INDEX(Datos!$A$2:$K$102,Formulas!AH70,RIGHT(Formulas!AJ70)+2),"")))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IFERROR(INDEX(Datos!$A$2:$K$102,Formulas!AI71,Formulas!AJ71+2),"")))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IFERROR(INDEX(Datos!$A$2:$K$102,Formulas!AM70,RIGHT(Formulas!AO70)+2),"")))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IFERROR(INDEX(Datos!$A$2:$K$102,Formulas!AN71,Formulas!AO71+2),"")))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IFERROR(INDEX(Datos!$A$2:$K$102,Formulas!AR70,RIGHT(Formulas!AT70)+2),"")))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IFERROR(INDEX(Datos!$A$2:$K$102,Formulas!AS71,Formulas!AT71+2),"")))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IFERROR(INDEX(Datos!$A$2:$K$102,Formulas!AW70,RIGHT(Formulas!AY70)+2),"")))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IFERROR(INDEX(Datos!$A$2:$K$102,Formulas!AX71,Formulas!AY71+2),"")))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IFERROR(INDEX(Datos!$A$2:$K$102,Formulas!D71,RIGHT(Formulas!F71)+2),"")))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IFERROR(INDEX(Datos!$A$2:$K$102,Formulas!E72,Formulas!F72+2),"")))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IFERROR(INDEX(Datos!$A$2:$K$102,Formulas!I71,RIGHT(Formulas!K71)+2),"")))</f>
        <v>2 días</v>
      </c>
      <c r="J74" s="113" t="e" cm="1">
        <f t="array" aca="1" ref="J74" ca="1">IF(OR(Formulas!K72=0,Formulas!K72=""),"",HYPERLINK("["&amp;Archivo_Nombre&amp;"]Datos!"&amp;LEFT(SUBSTITUTE(ADDRESS(1,Formulas!K72+2),"$",""))&amp;Formulas!J72+1,
IFERROR(INDEX(Datos!$A$2:$K$102,Formulas!J72,Formulas!K72+2),"")))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IFERROR(INDEX(Datos!$A$2:$K$102,Formulas!N71,RIGHT(Formulas!P71)+2),"")))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IFERROR(INDEX(Datos!$A$2:$K$102,Formulas!O72,Formulas!P72+2),"")))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IFERROR(INDEX(Datos!$A$2:$K$102,Formulas!S71,RIGHT(Formulas!U71)+2),"")))</f>
        <v>1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IFERROR(INDEX(Datos!$A$2:$K$102,Formulas!T72,Formulas!U72+2),"")))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IFERROR(INDEX(Datos!$A$2:$K$102,Formulas!X71,RIGHT(Formulas!Z71)+2),"")))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IFERROR(INDEX(Datos!$A$2:$K$102,Formulas!Y72,Formulas!Z72+2),"")))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IFERROR(INDEX(Datos!$A$2:$K$102,Formulas!AC71,RIGHT(Formulas!AE71)+2),"")))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IFERROR(INDEX(Datos!$A$2:$K$102,Formulas!AD72,Formulas!AE72+2),"")))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IFERROR(INDEX(Datos!$A$2:$K$102,Formulas!AH71,RIGHT(Formulas!AJ71)+2),"")))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IFERROR(INDEX(Datos!$A$2:$K$102,Formulas!AI72,Formulas!AJ72+2),"")))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IFERROR(INDEX(Datos!$A$2:$K$102,Formulas!AM71,RIGHT(Formulas!AO71)+2),"")))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IFERROR(INDEX(Datos!$A$2:$K$102,Formulas!AN72,Formulas!AO72+2),"")))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IFERROR(INDEX(Datos!$A$2:$K$102,Formulas!AR71,RIGHT(Formulas!AT71)+2),"")))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IFERROR(INDEX(Datos!$A$2:$K$102,Formulas!AS72,Formulas!AT72+2),"")))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IFERROR(INDEX(Datos!$A$2:$K$102,Formulas!AW71,RIGHT(Formulas!AY71)+2),"")))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IFERROR(INDEX(Datos!$A$2:$K$102,Formulas!AX72,Formulas!AY72+2),"")))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IFERROR(INDEX(Datos!$A$2:$K$102,Formulas!D72,RIGHT(Formulas!F72)+2),"")))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IFERROR(INDEX(Datos!$A$2:$K$102,Formulas!E73,Formulas!F73+2),"")))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IFERROR(INDEX(Datos!$A$2:$K$102,Formulas!I72,RIGHT(Formulas!K72)+2),"")))</f>
        <v>0 días</v>
      </c>
      <c r="J75" s="113" t="e" cm="1">
        <f t="array" aca="1" ref="J75" ca="1">IF(OR(Formulas!K73=0,Formulas!K73=""),"",HYPERLINK("["&amp;Archivo_Nombre&amp;"]Datos!"&amp;LEFT(SUBSTITUTE(ADDRESS(1,Formulas!K73+2),"$",""))&amp;Formulas!J73+1,
IFERROR(INDEX(Datos!$A$2:$K$102,Formulas!J73,Formulas!K73+2),"")))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IFERROR(INDEX(Datos!$A$2:$K$102,Formulas!N72,RIGHT(Formulas!P72)+2),"")))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IFERROR(INDEX(Datos!$A$2:$K$102,Formulas!O73,Formulas!P73+2),"")))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IFERROR(INDEX(Datos!$A$2:$K$102,Formulas!S72,RIGHT(Formulas!U72)+2),"")))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IFERROR(INDEX(Datos!$A$2:$K$102,Formulas!T73,Formulas!U73+2),"")))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IFERROR(INDEX(Datos!$A$2:$K$102,Formulas!X72,RIGHT(Formulas!Z72)+2),"")))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IFERROR(INDEX(Datos!$A$2:$K$102,Formulas!Y73,Formulas!Z73+2),"")))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IFERROR(INDEX(Datos!$A$2:$K$102,Formulas!AC72,RIGHT(Formulas!AE72)+2),"")))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IFERROR(INDEX(Datos!$A$2:$K$102,Formulas!AD73,Formulas!AE73+2),"")))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IFERROR(INDEX(Datos!$A$2:$K$102,Formulas!AH72,RIGHT(Formulas!AJ72)+2),"")))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IFERROR(INDEX(Datos!$A$2:$K$102,Formulas!AI73,Formulas!AJ73+2),"")))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IFERROR(INDEX(Datos!$A$2:$K$102,Formulas!AM72,RIGHT(Formulas!AO72)+2),"")))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IFERROR(INDEX(Datos!$A$2:$K$102,Formulas!AN73,Formulas!AO73+2),"")))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IFERROR(INDEX(Datos!$A$2:$K$102,Formulas!AR72,RIGHT(Formulas!AT72)+2),"")))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IFERROR(INDEX(Datos!$A$2:$K$102,Formulas!AS73,Formulas!AT73+2),"")))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IFERROR(INDEX(Datos!$A$2:$K$102,Formulas!AW72,RIGHT(Formulas!AY72)+2),"")))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IFERROR(INDEX(Datos!$A$2:$K$102,Formulas!AX73,Formulas!AY73+2),"")))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IFERROR(INDEX(Datos!$A$2:$K$102,Formulas!D73,RIGHT(Formulas!F73)+2),"")))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IFERROR(INDEX(Datos!$A$2:$K$102,Formulas!E74,Formulas!F74+2),"")))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IFERROR(INDEX(Datos!$A$2:$K$102,Formulas!I73,RIGHT(Formulas!K73)+2),"")))</f>
        <v>Madellyn Tasipanta</v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IFERROR(INDEX(Datos!$A$2:$K$102,Formulas!J74,Formulas!K74+2),"")))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IFERROR(INDEX(Datos!$A$2:$K$102,Formulas!N73,RIGHT(Formulas!P73)+2),"")))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IFERROR(INDEX(Datos!$A$2:$K$102,Formulas!O74,Formulas!P74+2),"")))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IFERROR(INDEX(Datos!$A$2:$K$102,Formulas!S73,RIGHT(Formulas!U73)+2),"")))</f>
        <v>Madellyn Tasipanta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IFERROR(INDEX(Datos!$A$2:$K$102,Formulas!T74,Formulas!U74+2),"")))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IFERROR(INDEX(Datos!$A$2:$K$102,Formulas!X73,RIGHT(Formulas!Z73)+2),"")))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IFERROR(INDEX(Datos!$A$2:$K$102,Formulas!Y74,Formulas!Z74+2),"")))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IFERROR(INDEX(Datos!$A$2:$K$102,Formulas!AC73,RIGHT(Formulas!AE73)+2),"")))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IFERROR(INDEX(Datos!$A$2:$K$102,Formulas!AD74,Formulas!AE74+2),"")))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IFERROR(INDEX(Datos!$A$2:$K$102,Formulas!AH73,RIGHT(Formulas!AJ73)+2),"")))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IFERROR(INDEX(Datos!$A$2:$K$102,Formulas!AI74,Formulas!AJ74+2),"")))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IFERROR(INDEX(Datos!$A$2:$K$102,Formulas!AM73,RIGHT(Formulas!AO73)+2),"")))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IFERROR(INDEX(Datos!$A$2:$K$102,Formulas!AN74,Formulas!AO74+2),"")))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IFERROR(INDEX(Datos!$A$2:$K$102,Formulas!AR73,RIGHT(Formulas!AT73)+2),"")))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IFERROR(INDEX(Datos!$A$2:$K$102,Formulas!AS74,Formulas!AT74+2),"")))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IFERROR(INDEX(Datos!$A$2:$K$102,Formulas!AW73,RIGHT(Formulas!AY73)+2),"")))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IFERROR(INDEX(Datos!$A$2:$K$102,Formulas!AX74,Formulas!AY74+2),"")))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IFERROR(INDEX(Datos!$A$2:$K$102,Formulas!D74,RIGHT(Formulas!F74)+2),"")))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IFERROR(INDEX(Datos!$A$2:$K$102,Formulas!E75,Formulas!F75+2),"")))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IFERROR(INDEX(Datos!$A$2:$K$102,Formulas!I74,RIGHT(Formulas!K74)+2),"")))</f>
        <v/>
      </c>
      <c r="J77" s="113" t="e" cm="1">
        <f t="array" aca="1" ref="J77" ca="1">IF(OR(Formulas!K75=0,Formulas!K75=""),"",HYPERLINK("["&amp;Archivo_Nombre&amp;"]Datos!"&amp;LEFT(SUBSTITUTE(ADDRESS(1,Formulas!K75+2),"$",""))&amp;Formulas!J75+1,
IFERROR(INDEX(Datos!$A$2:$K$102,Formulas!J75,Formulas!K75+2),"")))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IFERROR(INDEX(Datos!$A$2:$K$102,Formulas!N74,RIGHT(Formulas!P74)+2),"")))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IFERROR(INDEX(Datos!$A$2:$K$102,Formulas!O75,Formulas!P75+2),"")))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IFERROR(INDEX(Datos!$A$2:$K$102,Formulas!S74,RIGHT(Formulas!U74)+2),"")))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IFERROR(INDEX(Datos!$A$2:$K$102,Formulas!T75,Formulas!U75+2),"")))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IFERROR(INDEX(Datos!$A$2:$K$102,Formulas!X74,RIGHT(Formulas!Z74)+2),"")))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IFERROR(INDEX(Datos!$A$2:$K$102,Formulas!Y75,Formulas!Z75+2),"")))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IFERROR(INDEX(Datos!$A$2:$K$102,Formulas!AC74,RIGHT(Formulas!AE74)+2),"")))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IFERROR(INDEX(Datos!$A$2:$K$102,Formulas!AD75,Formulas!AE75+2),"")))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IFERROR(INDEX(Datos!$A$2:$K$102,Formulas!AH74,RIGHT(Formulas!AJ74)+2),"")))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IFERROR(INDEX(Datos!$A$2:$K$102,Formulas!AI75,Formulas!AJ75+2),"")))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IFERROR(INDEX(Datos!$A$2:$K$102,Formulas!AM74,RIGHT(Formulas!AO74)+2),"")))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IFERROR(INDEX(Datos!$A$2:$K$102,Formulas!AN75,Formulas!AO75+2),"")))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IFERROR(INDEX(Datos!$A$2:$K$102,Formulas!AR74,RIGHT(Formulas!AT74)+2),"")))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IFERROR(INDEX(Datos!$A$2:$K$102,Formulas!AS75,Formulas!AT75+2),"")))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IFERROR(INDEX(Datos!$A$2:$K$102,Formulas!AW74,RIGHT(Formulas!AY74)+2),"")))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IFERROR(INDEX(Datos!$A$2:$K$102,Formulas!AX75,Formulas!AY75+2),"")))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IFERROR(INDEX(Datos!$A$2:$K$102,Formulas!D75,RIGHT(Formulas!F75)+2),"")))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IFERROR(INDEX(Datos!$A$2:$K$102,Formulas!E76,Formulas!F76+2),"")))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61:</v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IFERROR(INDEX(Datos!$A$2:$K$102,Formulas!I75,RIGHT(Formulas!K75)+2),"")))</f>
        <v xml:space="preserve">REQ007 Guardar Contratos </v>
      </c>
      <c r="J78" s="113" t="e" cm="1">
        <f t="array" aca="1" ref="J78" ca="1">IF(OR(Formulas!K76=0,Formulas!K76=""),"",HYPERLINK("["&amp;Archivo_Nombre&amp;"]Datos!"&amp;LEFT(SUBSTITUTE(ADDRESS(1,Formulas!K76+2),"$",""))&amp;Formulas!J76+1,
IFERROR(INDEX(Datos!$A$2:$K$102,Formulas!J76,Formulas!K76+2),"")))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IFERROR(INDEX(Datos!$A$2:$K$102,Formulas!N75,RIGHT(Formulas!P75)+2),"")))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IFERROR(INDEX(Datos!$A$2:$K$102,Formulas!O76,Formulas!P76+2),"")))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50: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IFERROR(INDEX(Datos!$A$2:$K$102,Formulas!S75,RIGHT(Formulas!U75)+2),"")))</f>
        <v>Revisión de caja negra y caja blanca Sprint0, Sprint1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IFERROR(INDEX(Datos!$A$2:$K$102,Formulas!T76,Formulas!U76+2),"")))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IFERROR(INDEX(Datos!$A$2:$K$102,Formulas!X75,RIGHT(Formulas!Z75)+2),"")))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IFERROR(INDEX(Datos!$A$2:$K$102,Formulas!Y76,Formulas!Z76+2),"")))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IFERROR(INDEX(Datos!$A$2:$K$102,Formulas!AC75,RIGHT(Formulas!AE75)+2),"")))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IFERROR(INDEX(Datos!$A$2:$K$102,Formulas!AD76,Formulas!AE76+2),"")))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IFERROR(INDEX(Datos!$A$2:$K$102,Formulas!AH75,RIGHT(Formulas!AJ75)+2),"")))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IFERROR(INDEX(Datos!$A$2:$K$102,Formulas!AI76,Formulas!AJ76+2),"")))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IFERROR(INDEX(Datos!$A$2:$K$102,Formulas!AM75,RIGHT(Formulas!AO75)+2),"")))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IFERROR(INDEX(Datos!$A$2:$K$102,Formulas!AN76,Formulas!AO76+2),"")))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IFERROR(INDEX(Datos!$A$2:$K$102,Formulas!AR75,RIGHT(Formulas!AT75)+2),"")))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IFERROR(INDEX(Datos!$A$2:$K$102,Formulas!AS76,Formulas!AT76+2),"")))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IFERROR(INDEX(Datos!$A$2:$K$102,Formulas!AW75,RIGHT(Formulas!AY75)+2),"")))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IFERROR(INDEX(Datos!$A$2:$K$102,Formulas!AX76,Formulas!AY76+2),"")))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IFERROR(INDEX(Datos!$A$2:$K$102,Formulas!D76,RIGHT(Formulas!F76)+2),"")))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IFERROR(INDEX(Datos!$A$2:$K$102,Formulas!E77,Formulas!F77+2),"")))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IFERROR(INDEX(Datos!$A$2:$K$102,Formulas!I76,RIGHT(Formulas!K76)+2),"")))</f>
        <v>Guardar contratos dentro del sistema</v>
      </c>
      <c r="J79" s="113" t="e" cm="1">
        <f t="array" aca="1" ref="J79" ca="1">IF(OR(Formulas!K77=0,Formulas!K77=""),"",HYPERLINK("["&amp;Archivo_Nombre&amp;"]Datos!"&amp;LEFT(SUBSTITUTE(ADDRESS(1,Formulas!K77+2),"$",""))&amp;Formulas!J77+1,
IFERROR(INDEX(Datos!$A$2:$K$102,Formulas!J77,Formulas!K77+2),"")))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IFERROR(INDEX(Datos!$A$2:$K$102,Formulas!N76,RIGHT(Formulas!P76)+2),"")))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IFERROR(INDEX(Datos!$A$2:$K$102,Formulas!O77,Formulas!P77+2),"")))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IFERROR(INDEX(Datos!$A$2:$K$102,Formulas!S76,RIGHT(Formulas!U76)+2),"")))</f>
        <v>Revisión por parte de la ingeniera guía del proyecto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IFERROR(INDEX(Datos!$A$2:$K$102,Formulas!T77,Formulas!U77+2),"")))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IFERROR(INDEX(Datos!$A$2:$K$102,Formulas!X76,RIGHT(Formulas!Z76)+2),"")))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IFERROR(INDEX(Datos!$A$2:$K$102,Formulas!Y77,Formulas!Z77+2),"")))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IFERROR(INDEX(Datos!$A$2:$K$102,Formulas!AC76,RIGHT(Formulas!AE76)+2),"")))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IFERROR(INDEX(Datos!$A$2:$K$102,Formulas!AD77,Formulas!AE77+2),"")))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IFERROR(INDEX(Datos!$A$2:$K$102,Formulas!AH76,RIGHT(Formulas!AJ76)+2),"")))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IFERROR(INDEX(Datos!$A$2:$K$102,Formulas!AI77,Formulas!AJ77+2),"")))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IFERROR(INDEX(Datos!$A$2:$K$102,Formulas!AM76,RIGHT(Formulas!AO76)+2),"")))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IFERROR(INDEX(Datos!$A$2:$K$102,Formulas!AN77,Formulas!AO77+2),"")))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IFERROR(INDEX(Datos!$A$2:$K$102,Formulas!AR76,RIGHT(Formulas!AT76)+2),"")))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IFERROR(INDEX(Datos!$A$2:$K$102,Formulas!AS77,Formulas!AT77+2),"")))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IFERROR(INDEX(Datos!$A$2:$K$102,Formulas!AW76,RIGHT(Formulas!AY76)+2),"")))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IFERROR(INDEX(Datos!$A$2:$K$102,Formulas!AX77,Formulas!AY77+2),"")))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IFERROR(INDEX(Datos!$A$2:$K$102,Formulas!D77,RIGHT(Formulas!F77)+2),"")))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IFERROR(INDEX(Datos!$A$2:$K$102,Formulas!E78,Formulas!F78+2),"")))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3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IFERROR(INDEX(Datos!$A$2:$K$102,Formulas!I77,RIGHT(Formulas!K77)+2),"")))</f>
        <v>46000</v>
      </c>
      <c r="J80" s="113" t="e" cm="1">
        <f t="array" aca="1" ref="J80" ca="1">IF(OR(Formulas!K78=0,Formulas!K78=""),"",HYPERLINK("["&amp;Archivo_Nombre&amp;"]Datos!"&amp;LEFT(SUBSTITUTE(ADDRESS(1,Formulas!K78+2),"$",""))&amp;Formulas!J78+1,
IFERROR(INDEX(Datos!$A$2:$K$102,Formulas!J78,Formulas!K78+2),"")))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IFERROR(INDEX(Datos!$A$2:$K$102,Formulas!N77,RIGHT(Formulas!P77)+2),"")))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IFERROR(INDEX(Datos!$A$2:$K$102,Formulas!O78,Formulas!P78+2),"")))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IFERROR(INDEX(Datos!$A$2:$K$102,Formulas!S77,RIGHT(Formulas!U77)+2),"")))</f>
        <v>46007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IFERROR(INDEX(Datos!$A$2:$K$102,Formulas!T78,Formulas!U78+2),"")))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IFERROR(INDEX(Datos!$A$2:$K$102,Formulas!X77,RIGHT(Formulas!Z77)+2),"")))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IFERROR(INDEX(Datos!$A$2:$K$102,Formulas!Y78,Formulas!Z78+2),"")))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IFERROR(INDEX(Datos!$A$2:$K$102,Formulas!AC77,RIGHT(Formulas!AE77)+2),"")))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IFERROR(INDEX(Datos!$A$2:$K$102,Formulas!AD78,Formulas!AE78+2),"")))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IFERROR(INDEX(Datos!$A$2:$K$102,Formulas!AH77,RIGHT(Formulas!AJ77)+2),"")))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IFERROR(INDEX(Datos!$A$2:$K$102,Formulas!AI78,Formulas!AJ78+2),"")))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IFERROR(INDEX(Datos!$A$2:$K$102,Formulas!AM77,RIGHT(Formulas!AO77)+2),"")))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IFERROR(INDEX(Datos!$A$2:$K$102,Formulas!AN78,Formulas!AO78+2),"")))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IFERROR(INDEX(Datos!$A$2:$K$102,Formulas!AR77,RIGHT(Formulas!AT77)+2),"")))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IFERROR(INDEX(Datos!$A$2:$K$102,Formulas!AS78,Formulas!AT78+2),"")))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IFERROR(INDEX(Datos!$A$2:$K$102,Formulas!AW77,RIGHT(Formulas!AY77)+2),"")))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IFERROR(INDEX(Datos!$A$2:$K$102,Formulas!AX78,Formulas!AY78+2),"")))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IFERROR(INDEX(Datos!$A$2:$K$102,Formulas!D78,RIGHT(Formulas!F78)+2),"")))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IFERROR(INDEX(Datos!$A$2:$K$102,Formulas!E79,Formulas!F79+2),"")))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3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IFERROR(INDEX(Datos!$A$2:$K$102,Formulas!I78,RIGHT(Formulas!K78)+2),"")))</f>
        <v>46043</v>
      </c>
      <c r="J81" s="113" t="e" cm="1">
        <f t="array" aca="1" ref="J81" ca="1">IF(OR(Formulas!K79=0,Formulas!K79=""),"",HYPERLINK("["&amp;Archivo_Nombre&amp;"]Datos!"&amp;LEFT(SUBSTITUTE(ADDRESS(1,Formulas!K79+2),"$",""))&amp;Formulas!J79+1,
IFERROR(INDEX(Datos!$A$2:$K$102,Formulas!J79,Formulas!K79+2),"")))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IFERROR(INDEX(Datos!$A$2:$K$102,Formulas!N78,RIGHT(Formulas!P78)+2),"")))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IFERROR(INDEX(Datos!$A$2:$K$102,Formulas!O79,Formulas!P79+2),"")))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IFERROR(INDEX(Datos!$A$2:$K$102,Formulas!S78,RIGHT(Formulas!U78)+2),"")))</f>
        <v>46007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IFERROR(INDEX(Datos!$A$2:$K$102,Formulas!T79,Formulas!U79+2),"")))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IFERROR(INDEX(Datos!$A$2:$K$102,Formulas!X78,RIGHT(Formulas!Z78)+2),"")))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IFERROR(INDEX(Datos!$A$2:$K$102,Formulas!Y79,Formulas!Z79+2),"")))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IFERROR(INDEX(Datos!$A$2:$K$102,Formulas!AC78,RIGHT(Formulas!AE78)+2),"")))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IFERROR(INDEX(Datos!$A$2:$K$102,Formulas!AD79,Formulas!AE79+2),"")))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IFERROR(INDEX(Datos!$A$2:$K$102,Formulas!AH78,RIGHT(Formulas!AJ78)+2),"")))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IFERROR(INDEX(Datos!$A$2:$K$102,Formulas!AI79,Formulas!AJ79+2),"")))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IFERROR(INDEX(Datos!$A$2:$K$102,Formulas!AM78,RIGHT(Formulas!AO78)+2),"")))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IFERROR(INDEX(Datos!$A$2:$K$102,Formulas!AN79,Formulas!AO79+2),"")))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IFERROR(INDEX(Datos!$A$2:$K$102,Formulas!AR78,RIGHT(Formulas!AT78)+2),"")))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IFERROR(INDEX(Datos!$A$2:$K$102,Formulas!AS79,Formulas!AT79+2),"")))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IFERROR(INDEX(Datos!$A$2:$K$102,Formulas!AW78,RIGHT(Formulas!AY78)+2),"")))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IFERROR(INDEX(Datos!$A$2:$K$102,Formulas!AX79,Formulas!AY79+2),"")))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IFERROR(INDEX(Datos!$A$2:$K$102,Formulas!D79,RIGHT(Formulas!F79)+2),"")))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IFERROR(INDEX(Datos!$A$2:$K$102,Formulas!E80,Formulas!F80+2),"")))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3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IFERROR(INDEX(Datos!$A$2:$K$102,Formulas!I79,RIGHT(Formulas!K79)+2),"")))</f>
        <v>46001</v>
      </c>
      <c r="J82" s="113" t="e" cm="1">
        <f t="array" aca="1" ref="J82" ca="1">IF(OR(Formulas!K80=0,Formulas!K80=""),"",HYPERLINK("["&amp;Archivo_Nombre&amp;"]Datos!"&amp;LEFT(SUBSTITUTE(ADDRESS(1,Formulas!K80+2),"$",""))&amp;Formulas!J80+1,
IFERROR(INDEX(Datos!$A$2:$K$102,Formulas!J80,Formulas!K80+2),"")))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IFERROR(INDEX(Datos!$A$2:$K$102,Formulas!N79,RIGHT(Formulas!P79)+2),"")))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IFERROR(INDEX(Datos!$A$2:$K$102,Formulas!O80,Formulas!P80+2),"")))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IFERROR(INDEX(Datos!$A$2:$K$102,Formulas!S79,RIGHT(Formulas!U79)+2),"")))</f>
        <v>46007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IFERROR(INDEX(Datos!$A$2:$K$102,Formulas!T80,Formulas!U80+2),"")))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IFERROR(INDEX(Datos!$A$2:$K$102,Formulas!X79,RIGHT(Formulas!Z79)+2),"")))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IFERROR(INDEX(Datos!$A$2:$K$102,Formulas!Y80,Formulas!Z80+2),"")))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IFERROR(INDEX(Datos!$A$2:$K$102,Formulas!AC79,RIGHT(Formulas!AE79)+2),"")))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IFERROR(INDEX(Datos!$A$2:$K$102,Formulas!AD80,Formulas!AE80+2),"")))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IFERROR(INDEX(Datos!$A$2:$K$102,Formulas!AH79,RIGHT(Formulas!AJ79)+2),"")))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IFERROR(INDEX(Datos!$A$2:$K$102,Formulas!AI80,Formulas!AJ80+2),"")))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IFERROR(INDEX(Datos!$A$2:$K$102,Formulas!AM79,RIGHT(Formulas!AO79)+2),"")))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IFERROR(INDEX(Datos!$A$2:$K$102,Formulas!AN80,Formulas!AO80+2),"")))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IFERROR(INDEX(Datos!$A$2:$K$102,Formulas!AR79,RIGHT(Formulas!AT79)+2),"")))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IFERROR(INDEX(Datos!$A$2:$K$102,Formulas!AS80,Formulas!AT80+2),"")))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IFERROR(INDEX(Datos!$A$2:$K$102,Formulas!AW79,RIGHT(Formulas!AY79)+2),"")))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IFERROR(INDEX(Datos!$A$2:$K$102,Formulas!AX80,Formulas!AY80+2),"")))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IFERROR(INDEX(Datos!$A$2:$K$102,Formulas!D80,RIGHT(Formulas!F80)+2),"")))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IFERROR(INDEX(Datos!$A$2:$K$102,Formulas!E81,Formulas!F81+2),"")))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IFERROR(INDEX(Datos!$A$2:$K$102,Formulas!I80,RIGHT(Formulas!K80)+2),"")))</f>
        <v>2 días</v>
      </c>
      <c r="J83" s="113" t="e" cm="1">
        <f t="array" aca="1" ref="J83" ca="1">IF(OR(Formulas!K81=0,Formulas!K81=""),"",HYPERLINK("["&amp;Archivo_Nombre&amp;"]Datos!"&amp;LEFT(SUBSTITUTE(ADDRESS(1,Formulas!K81+2),"$",""))&amp;Formulas!J81+1,
IFERROR(INDEX(Datos!$A$2:$K$102,Formulas!J81,Formulas!K81+2),"")))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IFERROR(INDEX(Datos!$A$2:$K$102,Formulas!N80,RIGHT(Formulas!P80)+2),"")))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IFERROR(INDEX(Datos!$A$2:$K$102,Formulas!O81,Formulas!P81+2),"")))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IFERROR(INDEX(Datos!$A$2:$K$102,Formulas!S80,RIGHT(Formulas!U80)+2),"")))</f>
        <v>1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IFERROR(INDEX(Datos!$A$2:$K$102,Formulas!T81,Formulas!U81+2),"")))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IFERROR(INDEX(Datos!$A$2:$K$102,Formulas!X80,RIGHT(Formulas!Z80)+2),"")))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IFERROR(INDEX(Datos!$A$2:$K$102,Formulas!Y81,Formulas!Z81+2),"")))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IFERROR(INDEX(Datos!$A$2:$K$102,Formulas!AC80,RIGHT(Formulas!AE80)+2),"")))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IFERROR(INDEX(Datos!$A$2:$K$102,Formulas!AD81,Formulas!AE81+2),"")))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IFERROR(INDEX(Datos!$A$2:$K$102,Formulas!AH80,RIGHT(Formulas!AJ80)+2),"")))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IFERROR(INDEX(Datos!$A$2:$K$102,Formulas!AI81,Formulas!AJ81+2),"")))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IFERROR(INDEX(Datos!$A$2:$K$102,Formulas!AM80,RIGHT(Formulas!AO80)+2),"")))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IFERROR(INDEX(Datos!$A$2:$K$102,Formulas!AN81,Formulas!AO81+2),"")))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IFERROR(INDEX(Datos!$A$2:$K$102,Formulas!AR80,RIGHT(Formulas!AT80)+2),"")))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IFERROR(INDEX(Datos!$A$2:$K$102,Formulas!AS81,Formulas!AT81+2),"")))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IFERROR(INDEX(Datos!$A$2:$K$102,Formulas!AW80,RIGHT(Formulas!AY80)+2),"")))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IFERROR(INDEX(Datos!$A$2:$K$102,Formulas!AX81,Formulas!AY81+2),"")))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IFERROR(INDEX(Datos!$A$2:$K$102,Formulas!D81,RIGHT(Formulas!F81)+2),"")))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IFERROR(INDEX(Datos!$A$2:$K$102,Formulas!E82,Formulas!F82+2),"")))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IFERROR(INDEX(Datos!$A$2:$K$102,Formulas!I81,RIGHT(Formulas!K81)+2),"")))</f>
        <v>0 días</v>
      </c>
      <c r="J84" s="113" t="e" cm="1">
        <f t="array" aca="1" ref="J84" ca="1">IF(OR(Formulas!K82=0,Formulas!K82=""),"",HYPERLINK("["&amp;Archivo_Nombre&amp;"]Datos!"&amp;LEFT(SUBSTITUTE(ADDRESS(1,Formulas!K82+2),"$",""))&amp;Formulas!J82+1,
IFERROR(INDEX(Datos!$A$2:$K$102,Formulas!J82,Formulas!K82+2),"")))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IFERROR(INDEX(Datos!$A$2:$K$102,Formulas!N81,RIGHT(Formulas!P81)+2),"")))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IFERROR(INDEX(Datos!$A$2:$K$102,Formulas!O82,Formulas!P82+2),"")))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IFERROR(INDEX(Datos!$A$2:$K$102,Formulas!S81,RIGHT(Formulas!U81)+2),"")))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IFERROR(INDEX(Datos!$A$2:$K$102,Formulas!T82,Formulas!U82+2),"")))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IFERROR(INDEX(Datos!$A$2:$K$102,Formulas!X81,RIGHT(Formulas!Z81)+2),"")))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IFERROR(INDEX(Datos!$A$2:$K$102,Formulas!Y82,Formulas!Z82+2),"")))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IFERROR(INDEX(Datos!$A$2:$K$102,Formulas!AC81,RIGHT(Formulas!AE81)+2),"")))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IFERROR(INDEX(Datos!$A$2:$K$102,Formulas!AD82,Formulas!AE82+2),"")))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IFERROR(INDEX(Datos!$A$2:$K$102,Formulas!AH81,RIGHT(Formulas!AJ81)+2),"")))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IFERROR(INDEX(Datos!$A$2:$K$102,Formulas!AI82,Formulas!AJ82+2),"")))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IFERROR(INDEX(Datos!$A$2:$K$102,Formulas!AM81,RIGHT(Formulas!AO81)+2),"")))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IFERROR(INDEX(Datos!$A$2:$K$102,Formulas!AN82,Formulas!AO82+2),"")))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IFERROR(INDEX(Datos!$A$2:$K$102,Formulas!AR81,RIGHT(Formulas!AT81)+2),"")))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IFERROR(INDEX(Datos!$A$2:$K$102,Formulas!AS82,Formulas!AT82+2),"")))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IFERROR(INDEX(Datos!$A$2:$K$102,Formulas!AW81,RIGHT(Formulas!AY81)+2),"")))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IFERROR(INDEX(Datos!$A$2:$K$102,Formulas!AX82,Formulas!AY82+2),"")))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IFERROR(INDEX(Datos!$A$2:$K$102,Formulas!D82,RIGHT(Formulas!F82)+2),"")))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IFERROR(INDEX(Datos!$A$2:$K$102,Formulas!E83,Formulas!F83+2),"")))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IFERROR(INDEX(Datos!$A$2:$K$102,Formulas!I82,RIGHT(Formulas!K82)+2),"")))</f>
        <v>Madellyn Tasipanta</v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IFERROR(INDEX(Datos!$A$2:$K$102,Formulas!J83,Formulas!K83+2),"")))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IFERROR(INDEX(Datos!$A$2:$K$102,Formulas!N82,RIGHT(Formulas!P82)+2),"")))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IFERROR(INDEX(Datos!$A$2:$K$102,Formulas!O83,Formulas!P83+2),"")))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IFERROR(INDEX(Datos!$A$2:$K$102,Formulas!S82,RIGHT(Formulas!U82)+2),"")))</f>
        <v>Ing. Jenny Ruiz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IFERROR(INDEX(Datos!$A$2:$K$102,Formulas!T83,Formulas!U83+2),"")))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IFERROR(INDEX(Datos!$A$2:$K$102,Formulas!X82,RIGHT(Formulas!Z82)+2),"")))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IFERROR(INDEX(Datos!$A$2:$K$102,Formulas!Y83,Formulas!Z83+2),"")))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IFERROR(INDEX(Datos!$A$2:$K$102,Formulas!AC82,RIGHT(Formulas!AE82)+2),"")))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IFERROR(INDEX(Datos!$A$2:$K$102,Formulas!AD83,Formulas!AE83+2),"")))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IFERROR(INDEX(Datos!$A$2:$K$102,Formulas!AH82,RIGHT(Formulas!AJ82)+2),"")))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IFERROR(INDEX(Datos!$A$2:$K$102,Formulas!AI83,Formulas!AJ83+2),"")))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IFERROR(INDEX(Datos!$A$2:$K$102,Formulas!AM82,RIGHT(Formulas!AO82)+2),"")))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IFERROR(INDEX(Datos!$A$2:$K$102,Formulas!AN83,Formulas!AO83+2),"")))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IFERROR(INDEX(Datos!$A$2:$K$102,Formulas!AR82,RIGHT(Formulas!AT82)+2),"")))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IFERROR(INDEX(Datos!$A$2:$K$102,Formulas!AS83,Formulas!AT83+2),"")))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IFERROR(INDEX(Datos!$A$2:$K$102,Formulas!AW82,RIGHT(Formulas!AY82)+2),"")))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IFERROR(INDEX(Datos!$A$2:$K$102,Formulas!AX83,Formulas!AY83+2),"")))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IFERROR(INDEX(Datos!$A$2:$K$102,Formulas!D83,RIGHT(Formulas!F83)+2),"")))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IFERROR(INDEX(Datos!$A$2:$K$102,Formulas!E84,Formulas!F84+2),"")))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IFERROR(INDEX(Datos!$A$2:$K$102,Formulas!I83,RIGHT(Formulas!K83)+2),"")))</f>
        <v/>
      </c>
      <c r="J86" s="113" t="e" cm="1">
        <f t="array" aca="1" ref="J86" ca="1">IF(OR(Formulas!K84=0,Formulas!K84=""),"",HYPERLINK("["&amp;Archivo_Nombre&amp;"]Datos!"&amp;LEFT(SUBSTITUTE(ADDRESS(1,Formulas!K84+2),"$",""))&amp;Formulas!J84+1,
IFERROR(INDEX(Datos!$A$2:$K$102,Formulas!J84,Formulas!K84+2),"")))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IFERROR(INDEX(Datos!$A$2:$K$102,Formulas!N83,RIGHT(Formulas!P83)+2),"")))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IFERROR(INDEX(Datos!$A$2:$K$102,Formulas!O84,Formulas!P84+2),"")))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IFERROR(INDEX(Datos!$A$2:$K$102,Formulas!S83,RIGHT(Formulas!U83)+2),"")))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IFERROR(INDEX(Datos!$A$2:$K$102,Formulas!T84,Formulas!U84+2),"")))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IFERROR(INDEX(Datos!$A$2:$K$102,Formulas!X83,RIGHT(Formulas!Z83)+2),"")))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IFERROR(INDEX(Datos!$A$2:$K$102,Formulas!Y84,Formulas!Z84+2),"")))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IFERROR(INDEX(Datos!$A$2:$K$102,Formulas!AC83,RIGHT(Formulas!AE83)+2),"")))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IFERROR(INDEX(Datos!$A$2:$K$102,Formulas!AD84,Formulas!AE84+2),"")))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IFERROR(INDEX(Datos!$A$2:$K$102,Formulas!AH83,RIGHT(Formulas!AJ83)+2),"")))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IFERROR(INDEX(Datos!$A$2:$K$102,Formulas!AI84,Formulas!AJ84+2),"")))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IFERROR(INDEX(Datos!$A$2:$K$102,Formulas!AM83,RIGHT(Formulas!AO83)+2),"")))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IFERROR(INDEX(Datos!$A$2:$K$102,Formulas!AN84,Formulas!AO84+2),"")))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IFERROR(INDEX(Datos!$A$2:$K$102,Formulas!AR83,RIGHT(Formulas!AT83)+2),"")))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IFERROR(INDEX(Datos!$A$2:$K$102,Formulas!AS84,Formulas!AT84+2),"")))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IFERROR(INDEX(Datos!$A$2:$K$102,Formulas!AW83,RIGHT(Formulas!AY83)+2),"")))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IFERROR(INDEX(Datos!$A$2:$K$102,Formulas!AX84,Formulas!AY84+2),"")))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IFERROR(INDEX(Datos!$A$2:$K$102,Formulas!D84,RIGHT(Formulas!F84)+2),"")))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IFERROR(INDEX(Datos!$A$2:$K$102,Formulas!E85,Formulas!F85+2),"")))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60:</v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IFERROR(INDEX(Datos!$A$2:$K$102,Formulas!I84,RIGHT(Formulas!K84)+2),"")))</f>
        <v>Revisión defensa de proyecto final</v>
      </c>
      <c r="J87" s="113" t="e" cm="1">
        <f t="array" aca="1" ref="J87" ca="1">IF(OR(Formulas!K85=0,Formulas!K85=""),"",HYPERLINK("["&amp;Archivo_Nombre&amp;"]Datos!"&amp;LEFT(SUBSTITUTE(ADDRESS(1,Formulas!K85+2),"$",""))&amp;Formulas!J85+1,
IFERROR(INDEX(Datos!$A$2:$K$102,Formulas!J85,Formulas!K85+2),"")))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IFERROR(INDEX(Datos!$A$2:$K$102,Formulas!N84,RIGHT(Formulas!P84)+2),"")))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IFERROR(INDEX(Datos!$A$2:$K$102,Formulas!O85,Formulas!P85+2),"")))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49: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IFERROR(INDEX(Datos!$A$2:$K$102,Formulas!S84,RIGHT(Formulas!U84)+2),"")))</f>
        <v>Retroalimentación con Product owner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IFERROR(INDEX(Datos!$A$2:$K$102,Formulas!T85,Formulas!U85+2),"")))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IFERROR(INDEX(Datos!$A$2:$K$102,Formulas!X84,RIGHT(Formulas!Z84)+2),"")))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IFERROR(INDEX(Datos!$A$2:$K$102,Formulas!Y85,Formulas!Z85+2),"")))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IFERROR(INDEX(Datos!$A$2:$K$102,Formulas!AC84,RIGHT(Formulas!AE84)+2),"")))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IFERROR(INDEX(Datos!$A$2:$K$102,Formulas!AD85,Formulas!AE85+2),"")))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IFERROR(INDEX(Datos!$A$2:$K$102,Formulas!AH84,RIGHT(Formulas!AJ84)+2),"")))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IFERROR(INDEX(Datos!$A$2:$K$102,Formulas!AI85,Formulas!AJ85+2),"")))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IFERROR(INDEX(Datos!$A$2:$K$102,Formulas!AM84,RIGHT(Formulas!AO84)+2),"")))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IFERROR(INDEX(Datos!$A$2:$K$102,Formulas!AN85,Formulas!AO85+2),"")))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IFERROR(INDEX(Datos!$A$2:$K$102,Formulas!AR84,RIGHT(Formulas!AT84)+2),"")))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IFERROR(INDEX(Datos!$A$2:$K$102,Formulas!AS85,Formulas!AT85+2),"")))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IFERROR(INDEX(Datos!$A$2:$K$102,Formulas!AW84,RIGHT(Formulas!AY84)+2),"")))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IFERROR(INDEX(Datos!$A$2:$K$102,Formulas!AX85,Formulas!AY85+2),"")))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IFERROR(INDEX(Datos!$A$2:$K$102,Formulas!D85,RIGHT(Formulas!F85)+2),"")))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IFERROR(INDEX(Datos!$A$2:$K$102,Formulas!E86,Formulas!F86+2),"")))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IFERROR(INDEX(Datos!$A$2:$K$102,Formulas!I85,RIGHT(Formulas!K85)+2),"")))</f>
        <v>Últimos retoques y correcciones del proyecto</v>
      </c>
      <c r="J88" s="113" t="e" cm="1">
        <f t="array" aca="1" ref="J88" ca="1">IF(OR(Formulas!K86=0,Formulas!K86=""),"",HYPERLINK("["&amp;Archivo_Nombre&amp;"]Datos!"&amp;LEFT(SUBSTITUTE(ADDRESS(1,Formulas!K86+2),"$",""))&amp;Formulas!J86+1,
IFERROR(INDEX(Datos!$A$2:$K$102,Formulas!J86,Formulas!K86+2),"")))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IFERROR(INDEX(Datos!$A$2:$K$102,Formulas!N85,RIGHT(Formulas!P85)+2),"")))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IFERROR(INDEX(Datos!$A$2:$K$102,Formulas!O86,Formulas!P86+2),"")))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IFERROR(INDEX(Datos!$A$2:$K$102,Formulas!S85,RIGHT(Formulas!U85)+2),"")))</f>
        <v>Sugerenicas del Product Owner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IFERROR(INDEX(Datos!$A$2:$K$102,Formulas!T86,Formulas!U86+2),"")))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IFERROR(INDEX(Datos!$A$2:$K$102,Formulas!X85,RIGHT(Formulas!Z85)+2),"")))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IFERROR(INDEX(Datos!$A$2:$K$102,Formulas!Y86,Formulas!Z86+2),"")))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IFERROR(INDEX(Datos!$A$2:$K$102,Formulas!AC85,RIGHT(Formulas!AE85)+2),"")))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IFERROR(INDEX(Datos!$A$2:$K$102,Formulas!AD86,Formulas!AE86+2),"")))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IFERROR(INDEX(Datos!$A$2:$K$102,Formulas!AH85,RIGHT(Formulas!AJ85)+2),"")))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IFERROR(INDEX(Datos!$A$2:$K$102,Formulas!AI86,Formulas!AJ86+2),"")))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IFERROR(INDEX(Datos!$A$2:$K$102,Formulas!AM85,RIGHT(Formulas!AO85)+2),"")))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IFERROR(INDEX(Datos!$A$2:$K$102,Formulas!AN86,Formulas!AO86+2),"")))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IFERROR(INDEX(Datos!$A$2:$K$102,Formulas!AR85,RIGHT(Formulas!AT85)+2),"")))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IFERROR(INDEX(Datos!$A$2:$K$102,Formulas!AS86,Formulas!AT86+2),"")))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IFERROR(INDEX(Datos!$A$2:$K$102,Formulas!AW85,RIGHT(Formulas!AY85)+2),"")))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IFERROR(INDEX(Datos!$A$2:$K$102,Formulas!AX86,Formulas!AY86+2),"")))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IFERROR(INDEX(Datos!$A$2:$K$102,Formulas!D86,RIGHT(Formulas!F86)+2),"")))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IFERROR(INDEX(Datos!$A$2:$K$102,Formulas!E87,Formulas!F87+2),"")))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13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IFERROR(INDEX(Datos!$A$2:$K$102,Formulas!I86,RIGHT(Formulas!K86)+2),"")))</f>
        <v>46055</v>
      </c>
      <c r="J89" s="113" t="e" cm="1">
        <f t="array" aca="1" ref="J89" ca="1">IF(OR(Formulas!K87=0,Formulas!K87=""),"",HYPERLINK("["&amp;Archivo_Nombre&amp;"]Datos!"&amp;LEFT(SUBSTITUTE(ADDRESS(1,Formulas!K87+2),"$",""))&amp;Formulas!J87+1,
IFERROR(INDEX(Datos!$A$2:$K$102,Formulas!J87,Formulas!K87+2),"")))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IFERROR(INDEX(Datos!$A$2:$K$102,Formulas!N86,RIGHT(Formulas!P86)+2),"")))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IFERROR(INDEX(Datos!$A$2:$K$102,Formulas!O87,Formulas!P87+2),"")))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IFERROR(INDEX(Datos!$A$2:$K$102,Formulas!S86,RIGHT(Formulas!U86)+2),"")))</f>
        <v>46006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IFERROR(INDEX(Datos!$A$2:$K$102,Formulas!T87,Formulas!U87+2),"")))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IFERROR(INDEX(Datos!$A$2:$K$102,Formulas!X86,RIGHT(Formulas!Z86)+2),"")))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IFERROR(INDEX(Datos!$A$2:$K$102,Formulas!Y87,Formulas!Z87+2),"")))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IFERROR(INDEX(Datos!$A$2:$K$102,Formulas!AC86,RIGHT(Formulas!AE86)+2),"")))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IFERROR(INDEX(Datos!$A$2:$K$102,Formulas!AD87,Formulas!AE87+2),"")))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IFERROR(INDEX(Datos!$A$2:$K$102,Formulas!AH86,RIGHT(Formulas!AJ86)+2),"")))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IFERROR(INDEX(Datos!$A$2:$K$102,Formulas!AI87,Formulas!AJ87+2),"")))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IFERROR(INDEX(Datos!$A$2:$K$102,Formulas!AM86,RIGHT(Formulas!AO86)+2),"")))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IFERROR(INDEX(Datos!$A$2:$K$102,Formulas!AN87,Formulas!AO87+2),"")))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IFERROR(INDEX(Datos!$A$2:$K$102,Formulas!AR86,RIGHT(Formulas!AT86)+2),"")))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IFERROR(INDEX(Datos!$A$2:$K$102,Formulas!AS87,Formulas!AT87+2),"")))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IFERROR(INDEX(Datos!$A$2:$K$102,Formulas!AW86,RIGHT(Formulas!AY86)+2),"")))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IFERROR(INDEX(Datos!$A$2:$K$102,Formulas!AX87,Formulas!AY87+2),"")))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IFERROR(INDEX(Datos!$A$2:$K$102,Formulas!D87,RIGHT(Formulas!F87)+2),"")))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IFERROR(INDEX(Datos!$A$2:$K$102,Formulas!E88,Formulas!F88+2),"")))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13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IFERROR(INDEX(Datos!$A$2:$K$102,Formulas!I87,RIGHT(Formulas!K87)+2),"")))</f>
        <v>46055</v>
      </c>
      <c r="J90" s="113" t="e" cm="1">
        <f t="array" aca="1" ref="J90" ca="1">IF(OR(Formulas!K88=0,Formulas!K88=""),"",HYPERLINK("["&amp;Archivo_Nombre&amp;"]Datos!"&amp;LEFT(SUBSTITUTE(ADDRESS(1,Formulas!K88+2),"$",""))&amp;Formulas!J88+1,
IFERROR(INDEX(Datos!$A$2:$K$102,Formulas!J88,Formulas!K88+2),"")))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IFERROR(INDEX(Datos!$A$2:$K$102,Formulas!N87,RIGHT(Formulas!P87)+2),"")))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IFERROR(INDEX(Datos!$A$2:$K$102,Formulas!O88,Formulas!P88+2),"")))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IFERROR(INDEX(Datos!$A$2:$K$102,Formulas!S87,RIGHT(Formulas!U87)+2),"")))</f>
        <v>46006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IFERROR(INDEX(Datos!$A$2:$K$102,Formulas!T88,Formulas!U88+2),"")))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IFERROR(INDEX(Datos!$A$2:$K$102,Formulas!X87,RIGHT(Formulas!Z87)+2),"")))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IFERROR(INDEX(Datos!$A$2:$K$102,Formulas!Y88,Formulas!Z88+2),"")))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IFERROR(INDEX(Datos!$A$2:$K$102,Formulas!AC87,RIGHT(Formulas!AE87)+2),"")))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IFERROR(INDEX(Datos!$A$2:$K$102,Formulas!AD88,Formulas!AE88+2),"")))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IFERROR(INDEX(Datos!$A$2:$K$102,Formulas!AH87,RIGHT(Formulas!AJ87)+2),"")))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IFERROR(INDEX(Datos!$A$2:$K$102,Formulas!AI88,Formulas!AJ88+2),"")))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IFERROR(INDEX(Datos!$A$2:$K$102,Formulas!AM87,RIGHT(Formulas!AO87)+2),"")))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IFERROR(INDEX(Datos!$A$2:$K$102,Formulas!AN88,Formulas!AO88+2),"")))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IFERROR(INDEX(Datos!$A$2:$K$102,Formulas!AR87,RIGHT(Formulas!AT87)+2),"")))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IFERROR(INDEX(Datos!$A$2:$K$102,Formulas!AS88,Formulas!AT88+2),"")))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IFERROR(INDEX(Datos!$A$2:$K$102,Formulas!AW87,RIGHT(Formulas!AY87)+2),"")))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IFERROR(INDEX(Datos!$A$2:$K$102,Formulas!AX88,Formulas!AY88+2),"")))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IFERROR(INDEX(Datos!$A$2:$K$102,Formulas!D88,RIGHT(Formulas!F88)+2),"")))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IFERROR(INDEX(Datos!$A$2:$K$102,Formulas!E89,Formulas!F89+2),"")))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13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IFERROR(INDEX(Datos!$A$2:$K$102,Formulas!I88,RIGHT(Formulas!K88)+2),"")))</f>
        <v>46055</v>
      </c>
      <c r="J91" s="113" t="e" cm="1">
        <f t="array" aca="1" ref="J91" ca="1">IF(OR(Formulas!K89=0,Formulas!K89=""),"",HYPERLINK("["&amp;Archivo_Nombre&amp;"]Datos!"&amp;LEFT(SUBSTITUTE(ADDRESS(1,Formulas!K89+2),"$",""))&amp;Formulas!J89+1,
IFERROR(INDEX(Datos!$A$2:$K$102,Formulas!J89,Formulas!K89+2),"")))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IFERROR(INDEX(Datos!$A$2:$K$102,Formulas!N88,RIGHT(Formulas!P88)+2),"")))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IFERROR(INDEX(Datos!$A$2:$K$102,Formulas!O89,Formulas!P89+2),"")))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IFERROR(INDEX(Datos!$A$2:$K$102,Formulas!S88,RIGHT(Formulas!U88)+2),"")))</f>
        <v>46006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IFERROR(INDEX(Datos!$A$2:$K$102,Formulas!T89,Formulas!U89+2),"")))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IFERROR(INDEX(Datos!$A$2:$K$102,Formulas!X88,RIGHT(Formulas!Z88)+2),"")))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IFERROR(INDEX(Datos!$A$2:$K$102,Formulas!Y89,Formulas!Z89+2),"")))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IFERROR(INDEX(Datos!$A$2:$K$102,Formulas!AC88,RIGHT(Formulas!AE88)+2),"")))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IFERROR(INDEX(Datos!$A$2:$K$102,Formulas!AD89,Formulas!AE89+2),"")))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IFERROR(INDEX(Datos!$A$2:$K$102,Formulas!AH88,RIGHT(Formulas!AJ88)+2),"")))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IFERROR(INDEX(Datos!$A$2:$K$102,Formulas!AI89,Formulas!AJ89+2),"")))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IFERROR(INDEX(Datos!$A$2:$K$102,Formulas!AM88,RIGHT(Formulas!AO88)+2),"")))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IFERROR(INDEX(Datos!$A$2:$K$102,Formulas!AN89,Formulas!AO89+2),"")))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IFERROR(INDEX(Datos!$A$2:$K$102,Formulas!AR88,RIGHT(Formulas!AT88)+2),"")))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IFERROR(INDEX(Datos!$A$2:$K$102,Formulas!AS89,Formulas!AT89+2),"")))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IFERROR(INDEX(Datos!$A$2:$K$102,Formulas!AW88,RIGHT(Formulas!AY88)+2),"")))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IFERROR(INDEX(Datos!$A$2:$K$102,Formulas!AX89,Formulas!AY89+2),"")))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IFERROR(INDEX(Datos!$A$2:$K$102,Formulas!D89,RIGHT(Formulas!F89)+2),"")))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IFERROR(INDEX(Datos!$A$2:$K$102,Formulas!E90,Formulas!F90+2),"")))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IFERROR(INDEX(Datos!$A$2:$K$102,Formulas!I89,RIGHT(Formulas!K89)+2),"")))</f>
        <v>1 días</v>
      </c>
      <c r="J92" s="113" t="e" cm="1">
        <f t="array" aca="1" ref="J92" ca="1">IF(OR(Formulas!K90=0,Formulas!K90=""),"",HYPERLINK("["&amp;Archivo_Nombre&amp;"]Datos!"&amp;LEFT(SUBSTITUTE(ADDRESS(1,Formulas!K90+2),"$",""))&amp;Formulas!J90+1,
IFERROR(INDEX(Datos!$A$2:$K$102,Formulas!J90,Formulas!K90+2),"")))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IFERROR(INDEX(Datos!$A$2:$K$102,Formulas!N89,RIGHT(Formulas!P89)+2),"")))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IFERROR(INDEX(Datos!$A$2:$K$102,Formulas!O90,Formulas!P90+2),"")))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IFERROR(INDEX(Datos!$A$2:$K$102,Formulas!S89,RIGHT(Formulas!U89)+2),"")))</f>
        <v>1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IFERROR(INDEX(Datos!$A$2:$K$102,Formulas!T90,Formulas!U90+2),"")))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IFERROR(INDEX(Datos!$A$2:$K$102,Formulas!X89,RIGHT(Formulas!Z89)+2),"")))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IFERROR(INDEX(Datos!$A$2:$K$102,Formulas!Y90,Formulas!Z90+2),"")))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IFERROR(INDEX(Datos!$A$2:$K$102,Formulas!AC89,RIGHT(Formulas!AE89)+2),"")))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IFERROR(INDEX(Datos!$A$2:$K$102,Formulas!AD90,Formulas!AE90+2),"")))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IFERROR(INDEX(Datos!$A$2:$K$102,Formulas!AH89,RIGHT(Formulas!AJ89)+2),"")))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IFERROR(INDEX(Datos!$A$2:$K$102,Formulas!AI90,Formulas!AJ90+2),"")))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IFERROR(INDEX(Datos!$A$2:$K$102,Formulas!AM89,RIGHT(Formulas!AO89)+2),"")))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IFERROR(INDEX(Datos!$A$2:$K$102,Formulas!AN90,Formulas!AO90+2),"")))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IFERROR(INDEX(Datos!$A$2:$K$102,Formulas!AR89,RIGHT(Formulas!AT89)+2),"")))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IFERROR(INDEX(Datos!$A$2:$K$102,Formulas!AS90,Formulas!AT90+2),"")))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IFERROR(INDEX(Datos!$A$2:$K$102,Formulas!AW89,RIGHT(Formulas!AY89)+2),"")))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IFERROR(INDEX(Datos!$A$2:$K$102,Formulas!AX90,Formulas!AY90+2),"")))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IFERROR(INDEX(Datos!$A$2:$K$102,Formulas!D90,RIGHT(Formulas!F90)+2),"")))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IFERROR(INDEX(Datos!$A$2:$K$102,Formulas!E91,Formulas!F91+2),"")))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IFERROR(INDEX(Datos!$A$2:$K$102,Formulas!I90,RIGHT(Formulas!K90)+2),"")))</f>
        <v>0 días</v>
      </c>
      <c r="J93" s="113" t="e" cm="1">
        <f t="array" aca="1" ref="J93" ca="1">IF(OR(Formulas!K91=0,Formulas!K91=""),"",HYPERLINK("["&amp;Archivo_Nombre&amp;"]Datos!"&amp;LEFT(SUBSTITUTE(ADDRESS(1,Formulas!K91+2),"$",""))&amp;Formulas!J91+1,
IFERROR(INDEX(Datos!$A$2:$K$102,Formulas!J91,Formulas!K91+2),"")))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IFERROR(INDEX(Datos!$A$2:$K$102,Formulas!N90,RIGHT(Formulas!P90)+2),"")))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IFERROR(INDEX(Datos!$A$2:$K$102,Formulas!O91,Formulas!P91+2),"")))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IFERROR(INDEX(Datos!$A$2:$K$102,Formulas!S90,RIGHT(Formulas!U90)+2),"")))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IFERROR(INDEX(Datos!$A$2:$K$102,Formulas!T91,Formulas!U91+2),"")))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IFERROR(INDEX(Datos!$A$2:$K$102,Formulas!X90,RIGHT(Formulas!Z90)+2),"")))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IFERROR(INDEX(Datos!$A$2:$K$102,Formulas!Y91,Formulas!Z91+2),"")))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IFERROR(INDEX(Datos!$A$2:$K$102,Formulas!AC90,RIGHT(Formulas!AE90)+2),"")))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IFERROR(INDEX(Datos!$A$2:$K$102,Formulas!AD91,Formulas!AE91+2),"")))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IFERROR(INDEX(Datos!$A$2:$K$102,Formulas!AH90,RIGHT(Formulas!AJ90)+2),"")))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IFERROR(INDEX(Datos!$A$2:$K$102,Formulas!AI91,Formulas!AJ91+2),"")))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IFERROR(INDEX(Datos!$A$2:$K$102,Formulas!AM90,RIGHT(Formulas!AO90)+2),"")))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IFERROR(INDEX(Datos!$A$2:$K$102,Formulas!AN91,Formulas!AO91+2),"")))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IFERROR(INDEX(Datos!$A$2:$K$102,Formulas!AR90,RIGHT(Formulas!AT90)+2),"")))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IFERROR(INDEX(Datos!$A$2:$K$102,Formulas!AS91,Formulas!AT91+2),"")))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IFERROR(INDEX(Datos!$A$2:$K$102,Formulas!AW90,RIGHT(Formulas!AY90)+2),"")))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IFERROR(INDEX(Datos!$A$2:$K$102,Formulas!AX91,Formulas!AY91+2),"")))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IFERROR(INDEX(Datos!$A$2:$K$102,Formulas!D91,RIGHT(Formulas!F91)+2),"")))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IFERROR(INDEX(Datos!$A$2:$K$102,Formulas!E92,Formulas!F92+2),"")))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IFERROR(INDEX(Datos!$A$2:$K$102,Formulas!I91,RIGHT(Formulas!K91)+2),"")))</f>
        <v>Ing. Jenny Ruiz</v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IFERROR(INDEX(Datos!$A$2:$K$102,Formulas!J92,Formulas!K92+2),"")))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IFERROR(INDEX(Datos!$A$2:$K$102,Formulas!N91,RIGHT(Formulas!P91)+2),"")))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IFERROR(INDEX(Datos!$A$2:$K$102,Formulas!O92,Formulas!P92+2),"")))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IFERROR(INDEX(Datos!$A$2:$K$102,Formulas!S91,RIGHT(Formulas!U91)+2),"")))</f>
        <v>Madellyn Tasipanta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IFERROR(INDEX(Datos!$A$2:$K$102,Formulas!T92,Formulas!U92+2),"")))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IFERROR(INDEX(Datos!$A$2:$K$102,Formulas!X91,RIGHT(Formulas!Z91)+2),"")))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IFERROR(INDEX(Datos!$A$2:$K$102,Formulas!Y92,Formulas!Z92+2),"")))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IFERROR(INDEX(Datos!$A$2:$K$102,Formulas!AC91,RIGHT(Formulas!AE91)+2),"")))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IFERROR(INDEX(Datos!$A$2:$K$102,Formulas!AD92,Formulas!AE92+2),"")))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IFERROR(INDEX(Datos!$A$2:$K$102,Formulas!AH91,RIGHT(Formulas!AJ91)+2),"")))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IFERROR(INDEX(Datos!$A$2:$K$102,Formulas!AI92,Formulas!AJ92+2),"")))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IFERROR(INDEX(Datos!$A$2:$K$102,Formulas!AM91,RIGHT(Formulas!AO91)+2),"")))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IFERROR(INDEX(Datos!$A$2:$K$102,Formulas!AN92,Formulas!AO92+2),"")))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IFERROR(INDEX(Datos!$A$2:$K$102,Formulas!AR91,RIGHT(Formulas!AT91)+2),"")))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IFERROR(INDEX(Datos!$A$2:$K$102,Formulas!AS92,Formulas!AT92+2),"")))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IFERROR(INDEX(Datos!$A$2:$K$102,Formulas!AW91,RIGHT(Formulas!AY91)+2),"")))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IFERROR(INDEX(Datos!$A$2:$K$102,Formulas!AX92,Formulas!AY92+2),"")))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IFERROR(INDEX(Datos!$A$2:$K$102,Formulas!D92,RIGHT(Formulas!F92)+2),"")))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IFERROR(INDEX(Datos!$A$2:$K$102,Formulas!E93,Formulas!F93+2),"")))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IFERROR(INDEX(Datos!$A$2:$K$102,Formulas!I92,RIGHT(Formulas!K92)+2),"")))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IFERROR(INDEX(Datos!$A$2:$K$102,Formulas!J93,Formulas!K93+2),"")))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IFERROR(INDEX(Datos!$A$2:$K$102,Formulas!N92,RIGHT(Formulas!P92)+2),"")))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IFERROR(INDEX(Datos!$A$2:$K$102,Formulas!O93,Formulas!P93+2),"")))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IFERROR(INDEX(Datos!$A$2:$K$102,Formulas!S92,RIGHT(Formulas!U92)+2),"")))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IFERROR(INDEX(Datos!$A$2:$K$102,Formulas!T93,Formulas!U93+2),"")))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IFERROR(INDEX(Datos!$A$2:$K$102,Formulas!X92,RIGHT(Formulas!Z92)+2),"")))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IFERROR(INDEX(Datos!$A$2:$K$102,Formulas!Y93,Formulas!Z93+2),"")))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IFERROR(INDEX(Datos!$A$2:$K$102,Formulas!AC92,RIGHT(Formulas!AE92)+2),"")))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IFERROR(INDEX(Datos!$A$2:$K$102,Formulas!AD93,Formulas!AE93+2),"")))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IFERROR(INDEX(Datos!$A$2:$K$102,Formulas!AH92,RIGHT(Formulas!AJ92)+2),"")))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IFERROR(INDEX(Datos!$A$2:$K$102,Formulas!AI93,Formulas!AJ93+2),"")))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IFERROR(INDEX(Datos!$A$2:$K$102,Formulas!AM92,RIGHT(Formulas!AO92)+2),"")))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IFERROR(INDEX(Datos!$A$2:$K$102,Formulas!AN93,Formulas!AO93+2),"")))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IFERROR(INDEX(Datos!$A$2:$K$102,Formulas!AR92,RIGHT(Formulas!AT92)+2),"")))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IFERROR(INDEX(Datos!$A$2:$K$102,Formulas!AS93,Formulas!AT93+2),"")))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IFERROR(INDEX(Datos!$A$2:$K$102,Formulas!AW92,RIGHT(Formulas!AY92)+2),"")))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IFERROR(INDEX(Datos!$A$2:$K$102,Formulas!AX93,Formulas!AY93+2),"")))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IFERROR(INDEX(Datos!$A$2:$K$102,Formulas!D93,RIGHT(Formulas!F93)+2),"")))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IFERROR(INDEX(Datos!$A$2:$K$102,Formulas!E94,Formulas!F94+2),"")))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IFERROR(INDEX(Datos!$A$2:$K$102,Formulas!I93,RIGHT(Formulas!K93)+2),"")))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IFERROR(INDEX(Datos!$A$2:$K$102,Formulas!J94,Formulas!K94+2),"")))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IFERROR(INDEX(Datos!$A$2:$K$102,Formulas!N93,RIGHT(Formulas!P93)+2),"")))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IFERROR(INDEX(Datos!$A$2:$K$102,Formulas!O94,Formulas!P94+2),"")))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48: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IFERROR(INDEX(Datos!$A$2:$K$102,Formulas!S93,RIGHT(Formulas!U93)+2),"")))</f>
        <v>Revisión de Backlog Sprint0, Sprint1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IFERROR(INDEX(Datos!$A$2:$K$102,Formulas!T94,Formulas!U94+2),"")))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IFERROR(INDEX(Datos!$A$2:$K$102,Formulas!X93,RIGHT(Formulas!Z93)+2),"")))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IFERROR(INDEX(Datos!$A$2:$K$102,Formulas!Y94,Formulas!Z94+2),"")))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IFERROR(INDEX(Datos!$A$2:$K$102,Formulas!AC93,RIGHT(Formulas!AE93)+2),"")))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IFERROR(INDEX(Datos!$A$2:$K$102,Formulas!AD94,Formulas!AE94+2),"")))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IFERROR(INDEX(Datos!$A$2:$K$102,Formulas!AH93,RIGHT(Formulas!AJ93)+2),"")))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IFERROR(INDEX(Datos!$A$2:$K$102,Formulas!AI94,Formulas!AJ94+2),"")))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IFERROR(INDEX(Datos!$A$2:$K$102,Formulas!AM93,RIGHT(Formulas!AO93)+2),"")))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IFERROR(INDEX(Datos!$A$2:$K$102,Formulas!AN94,Formulas!AO94+2),"")))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IFERROR(INDEX(Datos!$A$2:$K$102,Formulas!AR93,RIGHT(Formulas!AT93)+2),"")))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IFERROR(INDEX(Datos!$A$2:$K$102,Formulas!AS94,Formulas!AT94+2),"")))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IFERROR(INDEX(Datos!$A$2:$K$102,Formulas!AW93,RIGHT(Formulas!AY93)+2),"")))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IFERROR(INDEX(Datos!$A$2:$K$102,Formulas!AX94,Formulas!AY94+2),"")))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IFERROR(INDEX(Datos!$A$2:$K$102,Formulas!D94,RIGHT(Formulas!F94)+2),"")))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IFERROR(INDEX(Datos!$A$2:$K$102,Formulas!E95,Formulas!F95+2),"")))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IFERROR(INDEX(Datos!$A$2:$K$102,Formulas!I94,RIGHT(Formulas!K94)+2),"")))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IFERROR(INDEX(Datos!$A$2:$K$102,Formulas!J95,Formulas!K95+2),"")))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IFERROR(INDEX(Datos!$A$2:$K$102,Formulas!N94,RIGHT(Formulas!P94)+2),"")))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IFERROR(INDEX(Datos!$A$2:$K$102,Formulas!O95,Formulas!P95+2),"")))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IFERROR(INDEX(Datos!$A$2:$K$102,Formulas!S94,RIGHT(Formulas!U94)+2),"")))</f>
        <v>Revisión por parte de la ingeniera guía del proyecto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IFERROR(INDEX(Datos!$A$2:$K$102,Formulas!T95,Formulas!U95+2),"")))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IFERROR(INDEX(Datos!$A$2:$K$102,Formulas!X94,RIGHT(Formulas!Z94)+2),"")))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IFERROR(INDEX(Datos!$A$2:$K$102,Formulas!Y95,Formulas!Z95+2),"")))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IFERROR(INDEX(Datos!$A$2:$K$102,Formulas!AC94,RIGHT(Formulas!AE94)+2),"")))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IFERROR(INDEX(Datos!$A$2:$K$102,Formulas!AD95,Formulas!AE95+2),"")))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IFERROR(INDEX(Datos!$A$2:$K$102,Formulas!AH94,RIGHT(Formulas!AJ94)+2),"")))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IFERROR(INDEX(Datos!$A$2:$K$102,Formulas!AI95,Formulas!AJ95+2),"")))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IFERROR(INDEX(Datos!$A$2:$K$102,Formulas!AM94,RIGHT(Formulas!AO94)+2),"")))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IFERROR(INDEX(Datos!$A$2:$K$102,Formulas!AN95,Formulas!AO95+2),"")))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IFERROR(INDEX(Datos!$A$2:$K$102,Formulas!AR94,RIGHT(Formulas!AT94)+2),"")))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IFERROR(INDEX(Datos!$A$2:$K$102,Formulas!AS95,Formulas!AT95+2),"")))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IFERROR(INDEX(Datos!$A$2:$K$102,Formulas!AW94,RIGHT(Formulas!AY94)+2),"")))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IFERROR(INDEX(Datos!$A$2:$K$102,Formulas!AX95,Formulas!AY95+2),"")))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IFERROR(INDEX(Datos!$A$2:$K$102,Formulas!D95,RIGHT(Formulas!F95)+2),"")))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IFERROR(INDEX(Datos!$A$2:$K$102,Formulas!E96,Formulas!F96+2),"")))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IFERROR(INDEX(Datos!$A$2:$K$102,Formulas!I95,RIGHT(Formulas!K95)+2),"")))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IFERROR(INDEX(Datos!$A$2:$K$102,Formulas!J96,Formulas!K96+2),"")))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IFERROR(INDEX(Datos!$A$2:$K$102,Formulas!N95,RIGHT(Formulas!P95)+2),"")))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IFERROR(INDEX(Datos!$A$2:$K$102,Formulas!O96,Formulas!P96+2),"")))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IFERROR(INDEX(Datos!$A$2:$K$102,Formulas!S95,RIGHT(Formulas!U95)+2),"")))</f>
        <v>46005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IFERROR(INDEX(Datos!$A$2:$K$102,Formulas!T96,Formulas!U96+2),"")))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IFERROR(INDEX(Datos!$A$2:$K$102,Formulas!X95,RIGHT(Formulas!Z95)+2),"")))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IFERROR(INDEX(Datos!$A$2:$K$102,Formulas!Y96,Formulas!Z96+2),"")))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IFERROR(INDEX(Datos!$A$2:$K$102,Formulas!AC95,RIGHT(Formulas!AE95)+2),"")))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IFERROR(INDEX(Datos!$A$2:$K$102,Formulas!AD96,Formulas!AE96+2),"")))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IFERROR(INDEX(Datos!$A$2:$K$102,Formulas!AH95,RIGHT(Formulas!AJ95)+2),"")))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IFERROR(INDEX(Datos!$A$2:$K$102,Formulas!AI96,Formulas!AJ96+2),"")))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IFERROR(INDEX(Datos!$A$2:$K$102,Formulas!AM95,RIGHT(Formulas!AO95)+2),"")))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IFERROR(INDEX(Datos!$A$2:$K$102,Formulas!AN96,Formulas!AO96+2),"")))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IFERROR(INDEX(Datos!$A$2:$K$102,Formulas!AR95,RIGHT(Formulas!AT95)+2),"")))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IFERROR(INDEX(Datos!$A$2:$K$102,Formulas!AS96,Formulas!AT96+2),"")))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IFERROR(INDEX(Datos!$A$2:$K$102,Formulas!AW95,RIGHT(Formulas!AY95)+2),"")))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IFERROR(INDEX(Datos!$A$2:$K$102,Formulas!AX96,Formulas!AY96+2),"")))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IFERROR(INDEX(Datos!$A$2:$K$102,Formulas!D96,RIGHT(Formulas!F96)+2),"")))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IFERROR(INDEX(Datos!$A$2:$K$102,Formulas!E97,Formulas!F97+2),"")))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IFERROR(INDEX(Datos!$A$2:$K$102,Formulas!I96,RIGHT(Formulas!K96)+2),"")))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IFERROR(INDEX(Datos!$A$2:$K$102,Formulas!J97,Formulas!K97+2),"")))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IFERROR(INDEX(Datos!$A$2:$K$102,Formulas!N96,RIGHT(Formulas!P96)+2),"")))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IFERROR(INDEX(Datos!$A$2:$K$102,Formulas!O97,Formulas!P97+2),"")))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IFERROR(INDEX(Datos!$A$2:$K$102,Formulas!S96,RIGHT(Formulas!U96)+2),"")))</f>
        <v>46005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IFERROR(INDEX(Datos!$A$2:$K$102,Formulas!T97,Formulas!U97+2),"")))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IFERROR(INDEX(Datos!$A$2:$K$102,Formulas!X96,RIGHT(Formulas!Z96)+2),"")))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IFERROR(INDEX(Datos!$A$2:$K$102,Formulas!Y97,Formulas!Z97+2),"")))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IFERROR(INDEX(Datos!$A$2:$K$102,Formulas!AC96,RIGHT(Formulas!AE96)+2),"")))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IFERROR(INDEX(Datos!$A$2:$K$102,Formulas!AD97,Formulas!AE97+2),"")))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IFERROR(INDEX(Datos!$A$2:$K$102,Formulas!AH96,RIGHT(Formulas!AJ96)+2),"")))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IFERROR(INDEX(Datos!$A$2:$K$102,Formulas!AI97,Formulas!AJ97+2),"")))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IFERROR(INDEX(Datos!$A$2:$K$102,Formulas!AM96,RIGHT(Formulas!AO96)+2),"")))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IFERROR(INDEX(Datos!$A$2:$K$102,Formulas!AN97,Formulas!AO97+2),"")))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IFERROR(INDEX(Datos!$A$2:$K$102,Formulas!AR96,RIGHT(Formulas!AT96)+2),"")))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IFERROR(INDEX(Datos!$A$2:$K$102,Formulas!AS97,Formulas!AT97+2),"")))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IFERROR(INDEX(Datos!$A$2:$K$102,Formulas!AW96,RIGHT(Formulas!AY96)+2),"")))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IFERROR(INDEX(Datos!$A$2:$K$102,Formulas!AX97,Formulas!AY97+2),"")))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IFERROR(INDEX(Datos!$A$2:$K$102,Formulas!D97,RIGHT(Formulas!F97)+2),"")))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IFERROR(INDEX(Datos!$A$2:$K$102,Formulas!E98,Formulas!F98+2),"")))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IFERROR(INDEX(Datos!$A$2:$K$102,Formulas!I97,RIGHT(Formulas!K97)+2),"")))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IFERROR(INDEX(Datos!$A$2:$K$102,Formulas!J98,Formulas!K98+2),"")))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IFERROR(INDEX(Datos!$A$2:$K$102,Formulas!N97,RIGHT(Formulas!P97)+2),"")))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IFERROR(INDEX(Datos!$A$2:$K$102,Formulas!O98,Formulas!P98+2),"")))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IFERROR(INDEX(Datos!$A$2:$K$102,Formulas!S97,RIGHT(Formulas!U97)+2),"")))</f>
        <v>46005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IFERROR(INDEX(Datos!$A$2:$K$102,Formulas!T98,Formulas!U98+2),"")))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IFERROR(INDEX(Datos!$A$2:$K$102,Formulas!X97,RIGHT(Formulas!Z97)+2),"")))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IFERROR(INDEX(Datos!$A$2:$K$102,Formulas!Y98,Formulas!Z98+2),"")))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IFERROR(INDEX(Datos!$A$2:$K$102,Formulas!AC97,RIGHT(Formulas!AE97)+2),"")))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IFERROR(INDEX(Datos!$A$2:$K$102,Formulas!AD98,Formulas!AE98+2),"")))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IFERROR(INDEX(Datos!$A$2:$K$102,Formulas!AH97,RIGHT(Formulas!AJ97)+2),"")))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IFERROR(INDEX(Datos!$A$2:$K$102,Formulas!AI98,Formulas!AJ98+2),"")))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IFERROR(INDEX(Datos!$A$2:$K$102,Formulas!AM97,RIGHT(Formulas!AO97)+2),"")))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IFERROR(INDEX(Datos!$A$2:$K$102,Formulas!AN98,Formulas!AO98+2),"")))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IFERROR(INDEX(Datos!$A$2:$K$102,Formulas!AR97,RIGHT(Formulas!AT97)+2),"")))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IFERROR(INDEX(Datos!$A$2:$K$102,Formulas!AS98,Formulas!AT98+2),"")))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IFERROR(INDEX(Datos!$A$2:$K$102,Formulas!AW97,RIGHT(Formulas!AY97)+2),"")))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IFERROR(INDEX(Datos!$A$2:$K$102,Formulas!AX98,Formulas!AY98+2),"")))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IFERROR(INDEX(Datos!$A$2:$K$102,Formulas!D98,RIGHT(Formulas!F98)+2),"")))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IFERROR(INDEX(Datos!$A$2:$K$102,Formulas!E99,Formulas!F99+2),"")))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IFERROR(INDEX(Datos!$A$2:$K$102,Formulas!I98,RIGHT(Formulas!K98)+2),"")))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IFERROR(INDEX(Datos!$A$2:$K$102,Formulas!J99,Formulas!K99+2),"")))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IFERROR(INDEX(Datos!$A$2:$K$102,Formulas!N98,RIGHT(Formulas!P98)+2),"")))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IFERROR(INDEX(Datos!$A$2:$K$102,Formulas!O99,Formulas!P99+2),"")))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IFERROR(INDEX(Datos!$A$2:$K$102,Formulas!S98,RIGHT(Formulas!U98)+2),"")))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IFERROR(INDEX(Datos!$A$2:$K$102,Formulas!T99,Formulas!U99+2),"")))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IFERROR(INDEX(Datos!$A$2:$K$102,Formulas!X98,RIGHT(Formulas!Z98)+2),"")))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IFERROR(INDEX(Datos!$A$2:$K$102,Formulas!Y99,Formulas!Z99+2),"")))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IFERROR(INDEX(Datos!$A$2:$K$102,Formulas!AC98,RIGHT(Formulas!AE98)+2),"")))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IFERROR(INDEX(Datos!$A$2:$K$102,Formulas!AD99,Formulas!AE99+2),"")))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IFERROR(INDEX(Datos!$A$2:$K$102,Formulas!AH98,RIGHT(Formulas!AJ98)+2),"")))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IFERROR(INDEX(Datos!$A$2:$K$102,Formulas!AI99,Formulas!AJ99+2),"")))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IFERROR(INDEX(Datos!$A$2:$K$102,Formulas!AM98,RIGHT(Formulas!AO98)+2),"")))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IFERROR(INDEX(Datos!$A$2:$K$102,Formulas!AN99,Formulas!AO99+2),"")))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IFERROR(INDEX(Datos!$A$2:$K$102,Formulas!AR98,RIGHT(Formulas!AT98)+2),"")))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IFERROR(INDEX(Datos!$A$2:$K$102,Formulas!AS99,Formulas!AT99+2),"")))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IFERROR(INDEX(Datos!$A$2:$K$102,Formulas!AW98,RIGHT(Formulas!AY98)+2),"")))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IFERROR(INDEX(Datos!$A$2:$K$102,Formulas!AX99,Formulas!AY99+2),"")))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IFERROR(INDEX(Datos!$A$2:$K$102,Formulas!D99,RIGHT(Formulas!F99)+2),"")))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IFERROR(INDEX(Datos!$A$2:$K$102,Formulas!E100,Formulas!F100+2),"")))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IFERROR(INDEX(Datos!$A$2:$K$102,Formulas!I99,RIGHT(Formulas!K99)+2),"")))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IFERROR(INDEX(Datos!$A$2:$K$102,Formulas!J100,Formulas!K100+2),"")))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IFERROR(INDEX(Datos!$A$2:$K$102,Formulas!N99,RIGHT(Formulas!P99)+2),"")))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IFERROR(INDEX(Datos!$A$2:$K$102,Formulas!O100,Formulas!P100+2),"")))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IFERROR(INDEX(Datos!$A$2:$K$102,Formulas!S99,RIGHT(Formulas!U99)+2),"")))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IFERROR(INDEX(Datos!$A$2:$K$102,Formulas!T100,Formulas!U100+2),"")))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IFERROR(INDEX(Datos!$A$2:$K$102,Formulas!X99,RIGHT(Formulas!Z99)+2),"")))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IFERROR(INDEX(Datos!$A$2:$K$102,Formulas!Y100,Formulas!Z100+2),"")))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IFERROR(INDEX(Datos!$A$2:$K$102,Formulas!AC99,RIGHT(Formulas!AE99)+2),"")))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IFERROR(INDEX(Datos!$A$2:$K$102,Formulas!AD100,Formulas!AE100+2),"")))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IFERROR(INDEX(Datos!$A$2:$K$102,Formulas!AH99,RIGHT(Formulas!AJ99)+2),"")))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IFERROR(INDEX(Datos!$A$2:$K$102,Formulas!AI100,Formulas!AJ100+2),"")))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IFERROR(INDEX(Datos!$A$2:$K$102,Formulas!AM99,RIGHT(Formulas!AO99)+2),"")))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IFERROR(INDEX(Datos!$A$2:$K$102,Formulas!AN100,Formulas!AO100+2),"")))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IFERROR(INDEX(Datos!$A$2:$K$102,Formulas!AR99,RIGHT(Formulas!AT99)+2),"")))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IFERROR(INDEX(Datos!$A$2:$K$102,Formulas!AS100,Formulas!AT100+2),"")))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IFERROR(INDEX(Datos!$A$2:$K$102,Formulas!AW99,RIGHT(Formulas!AY99)+2),"")))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IFERROR(INDEX(Datos!$A$2:$K$102,Formulas!AX100,Formulas!AY100+2),"")))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IFERROR(INDEX(Datos!$A$2:$K$102,Formulas!D100,RIGHT(Formulas!F100)+2),"")))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IFERROR(INDEX(Datos!$A$2:$K$102,Formulas!E101,Formulas!F101+2),"")))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IFERROR(INDEX(Datos!$A$2:$K$102,Formulas!I100,RIGHT(Formulas!K100)+2),"")))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IFERROR(INDEX(Datos!$A$2:$K$102,Formulas!J101,Formulas!K101+2),"")))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IFERROR(INDEX(Datos!$A$2:$K$102,Formulas!N100,RIGHT(Formulas!P100)+2),"")))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IFERROR(INDEX(Datos!$A$2:$K$102,Formulas!O101,Formulas!P101+2),"")))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IFERROR(INDEX(Datos!$A$2:$K$102,Formulas!S100,RIGHT(Formulas!U100)+2),"")))</f>
        <v>Ing. Jenny Ruiz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IFERROR(INDEX(Datos!$A$2:$K$102,Formulas!T101,Formulas!U101+2),"")))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IFERROR(INDEX(Datos!$A$2:$K$102,Formulas!X100,RIGHT(Formulas!Z100)+2),"")))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IFERROR(INDEX(Datos!$A$2:$K$102,Formulas!Y101,Formulas!Z101+2),"")))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IFERROR(INDEX(Datos!$A$2:$K$102,Formulas!AC100,RIGHT(Formulas!AE100)+2),"")))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IFERROR(INDEX(Datos!$A$2:$K$102,Formulas!AD101,Formulas!AE101+2),"")))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IFERROR(INDEX(Datos!$A$2:$K$102,Formulas!AH100,RIGHT(Formulas!AJ100)+2),"")))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IFERROR(INDEX(Datos!$A$2:$K$102,Formulas!AI101,Formulas!AJ101+2),"")))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IFERROR(INDEX(Datos!$A$2:$K$102,Formulas!AM100,RIGHT(Formulas!AO100)+2),"")))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IFERROR(INDEX(Datos!$A$2:$K$102,Formulas!AN101,Formulas!AO101+2),"")))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IFERROR(INDEX(Datos!$A$2:$K$102,Formulas!AR100,RIGHT(Formulas!AT100)+2),"")))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IFERROR(INDEX(Datos!$A$2:$K$102,Formulas!AS101,Formulas!AT101+2),"")))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IFERROR(INDEX(Datos!$A$2:$K$102,Formulas!AW100,RIGHT(Formulas!AY100)+2),"")))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IFERROR(INDEX(Datos!$A$2:$K$102,Formulas!AX101,Formulas!AY101+2),"")))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IFERROR(INDEX(Datos!$A$2:$K$102,Formulas!D101,RIGHT(Formulas!F101)+2),"")))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IFERROR(INDEX(Datos!$A$2:$K$102,Formulas!E102,Formulas!F102+2),"")))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IFERROR(INDEX(Datos!$A$2:$K$102,Formulas!I101,RIGHT(Formulas!K101)+2),"")))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IFERROR(INDEX(Datos!$A$2:$K$102,Formulas!J102,Formulas!K102+2),"")))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IFERROR(INDEX(Datos!$A$2:$K$102,Formulas!N101,RIGHT(Formulas!P101)+2),"")))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IFERROR(INDEX(Datos!$A$2:$K$102,Formulas!O102,Formulas!P102+2),"")))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IFERROR(INDEX(Datos!$A$2:$K$102,Formulas!S101,RIGHT(Formulas!U101)+2),"")))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IFERROR(INDEX(Datos!$A$2:$K$102,Formulas!T102,Formulas!U102+2),"")))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IFERROR(INDEX(Datos!$A$2:$K$102,Formulas!X101,RIGHT(Formulas!Z101)+2),"")))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IFERROR(INDEX(Datos!$A$2:$K$102,Formulas!Y102,Formulas!Z102+2),"")))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IFERROR(INDEX(Datos!$A$2:$K$102,Formulas!AC101,RIGHT(Formulas!AE101)+2),"")))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IFERROR(INDEX(Datos!$A$2:$K$102,Formulas!AD102,Formulas!AE102+2),"")))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IFERROR(INDEX(Datos!$A$2:$K$102,Formulas!AH101,RIGHT(Formulas!AJ101)+2),"")))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IFERROR(INDEX(Datos!$A$2:$K$102,Formulas!AI102,Formulas!AJ102+2),"")))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IFERROR(INDEX(Datos!$A$2:$K$102,Formulas!AM101,RIGHT(Formulas!AO101)+2),"")))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IFERROR(INDEX(Datos!$A$2:$K$102,Formulas!AN102,Formulas!AO102+2),"")))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IFERROR(INDEX(Datos!$A$2:$K$102,Formulas!AR101,RIGHT(Formulas!AT101)+2),"")))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IFERROR(INDEX(Datos!$A$2:$K$102,Formulas!AS102,Formulas!AT102+2),"")))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IFERROR(INDEX(Datos!$A$2:$K$102,Formulas!AW101,RIGHT(Formulas!AY101)+2),"")))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IFERROR(INDEX(Datos!$A$2:$K$102,Formulas!AX102,Formulas!AY102+2),"")))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IFERROR(INDEX(Datos!$A$2:$K$102,Formulas!D102,RIGHT(Formulas!F102)+2),"")))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IFERROR(INDEX(Datos!$A$2:$K$102,Formulas!E103,Formulas!F103+2),"")))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IFERROR(INDEX(Datos!$A$2:$K$102,Formulas!I102,RIGHT(Formulas!K102)+2),"")))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IFERROR(INDEX(Datos!$A$2:$K$102,Formulas!J103,Formulas!K103+2),"")))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IFERROR(INDEX(Datos!$A$2:$K$102,Formulas!N102,RIGHT(Formulas!P102)+2),"")))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IFERROR(INDEX(Datos!$A$2:$K$102,Formulas!O103,Formulas!P103+2),"")))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47: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IFERROR(INDEX(Datos!$A$2:$K$102,Formulas!S102,RIGHT(Formulas!U102)+2),"")))</f>
        <v>Revisión de VIDEO DE ENTREVISTA 1, VIDEO MAQUETADO, VIDEO PRESENTACION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IFERROR(INDEX(Datos!$A$2:$K$102,Formulas!T103,Formulas!U103+2),"")))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IFERROR(INDEX(Datos!$A$2:$K$102,Formulas!X102,RIGHT(Formulas!Z102)+2),"")))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IFERROR(INDEX(Datos!$A$2:$K$102,Formulas!Y103,Formulas!Z103+2),"")))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IFERROR(INDEX(Datos!$A$2:$K$102,Formulas!AC102,RIGHT(Formulas!AE102)+2),"")))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IFERROR(INDEX(Datos!$A$2:$K$102,Formulas!AD103,Formulas!AE103+2),"")))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IFERROR(INDEX(Datos!$A$2:$K$102,Formulas!AH102,RIGHT(Formulas!AJ102)+2),"")))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IFERROR(INDEX(Datos!$A$2:$K$102,Formulas!AI103,Formulas!AJ103+2),"")))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IFERROR(INDEX(Datos!$A$2:$K$102,Formulas!AM102,RIGHT(Formulas!AO102)+2),"")))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IFERROR(INDEX(Datos!$A$2:$K$102,Formulas!AN103,Formulas!AO103+2),"")))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IFERROR(INDEX(Datos!$A$2:$K$102,Formulas!AR102,RIGHT(Formulas!AT102)+2),"")))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IFERROR(INDEX(Datos!$A$2:$K$102,Formulas!AS103,Formulas!AT103+2),"")))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IFERROR(INDEX(Datos!$A$2:$K$102,Formulas!AW102,RIGHT(Formulas!AY102)+2),"")))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IFERROR(INDEX(Datos!$A$2:$K$102,Formulas!AX103,Formulas!AY103+2),"")))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IFERROR(INDEX(Datos!$A$2:$K$102,Formulas!D103,RIGHT(Formulas!F103)+2),"")))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IFERROR(INDEX(Datos!$A$2:$K$102,Formulas!E104,Formulas!F104+2),"")))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IFERROR(INDEX(Datos!$A$2:$K$102,Formulas!I103,RIGHT(Formulas!K103)+2),"")))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IFERROR(INDEX(Datos!$A$2:$K$102,Formulas!J104,Formulas!K104+2),"")))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IFERROR(INDEX(Datos!$A$2:$K$102,Formulas!N103,RIGHT(Formulas!P103)+2),"")))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IFERROR(INDEX(Datos!$A$2:$K$102,Formulas!O104,Formulas!P104+2),"")))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IFERROR(INDEX(Datos!$A$2:$K$102,Formulas!S103,RIGHT(Formulas!U103)+2),"")))</f>
        <v>Revisión por parte de la ingeniera guía del proyecto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IFERROR(INDEX(Datos!$A$2:$K$102,Formulas!T104,Formulas!U104+2),"")))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IFERROR(INDEX(Datos!$A$2:$K$102,Formulas!X103,RIGHT(Formulas!Z103)+2),"")))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IFERROR(INDEX(Datos!$A$2:$K$102,Formulas!Y104,Formulas!Z104+2),"")))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IFERROR(INDEX(Datos!$A$2:$K$102,Formulas!AC103,RIGHT(Formulas!AE103)+2),"")))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IFERROR(INDEX(Datos!$A$2:$K$102,Formulas!AD104,Formulas!AE104+2),"")))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IFERROR(INDEX(Datos!$A$2:$K$102,Formulas!AH103,RIGHT(Formulas!AJ103)+2),"")))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IFERROR(INDEX(Datos!$A$2:$K$102,Formulas!AI104,Formulas!AJ104+2),"")))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IFERROR(INDEX(Datos!$A$2:$K$102,Formulas!AM103,RIGHT(Formulas!AO103)+2),"")))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IFERROR(INDEX(Datos!$A$2:$K$102,Formulas!AN104,Formulas!AO104+2),"")))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IFERROR(INDEX(Datos!$A$2:$K$102,Formulas!AR103,RIGHT(Formulas!AT103)+2),"")))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IFERROR(INDEX(Datos!$A$2:$K$102,Formulas!AS104,Formulas!AT104+2),"")))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IFERROR(INDEX(Datos!$A$2:$K$102,Formulas!AW103,RIGHT(Formulas!AY103)+2),"")))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IFERROR(INDEX(Datos!$A$2:$K$102,Formulas!AX104,Formulas!AY104+2),"")))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IFERROR(INDEX(Datos!$A$2:$K$102,Formulas!D104,RIGHT(Formulas!F104)+2),"")))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IFERROR(INDEX(Datos!$A$2:$K$102,Formulas!E105,Formulas!F105+2),"")))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IFERROR(INDEX(Datos!$A$2:$K$102,Formulas!I104,RIGHT(Formulas!K104)+2),"")))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IFERROR(INDEX(Datos!$A$2:$K$102,Formulas!J105,Formulas!K105+2),"")))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IFERROR(INDEX(Datos!$A$2:$K$102,Formulas!N104,RIGHT(Formulas!P104)+2),"")))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IFERROR(INDEX(Datos!$A$2:$K$102,Formulas!O105,Formulas!P105+2),"")))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IFERROR(INDEX(Datos!$A$2:$K$102,Formulas!S104,RIGHT(Formulas!U104)+2),"")))</f>
        <v>46005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IFERROR(INDEX(Datos!$A$2:$K$102,Formulas!T105,Formulas!U105+2),"")))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IFERROR(INDEX(Datos!$A$2:$K$102,Formulas!X104,RIGHT(Formulas!Z104)+2),"")))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IFERROR(INDEX(Datos!$A$2:$K$102,Formulas!Y105,Formulas!Z105+2),"")))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IFERROR(INDEX(Datos!$A$2:$K$102,Formulas!AC104,RIGHT(Formulas!AE104)+2),"")))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IFERROR(INDEX(Datos!$A$2:$K$102,Formulas!AD105,Formulas!AE105+2),"")))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IFERROR(INDEX(Datos!$A$2:$K$102,Formulas!AH104,RIGHT(Formulas!AJ104)+2),"")))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IFERROR(INDEX(Datos!$A$2:$K$102,Formulas!AI105,Formulas!AJ105+2),"")))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IFERROR(INDEX(Datos!$A$2:$K$102,Formulas!AM104,RIGHT(Formulas!AO104)+2),"")))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IFERROR(INDEX(Datos!$A$2:$K$102,Formulas!AN105,Formulas!AO105+2),"")))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IFERROR(INDEX(Datos!$A$2:$K$102,Formulas!AR104,RIGHT(Formulas!AT104)+2),"")))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IFERROR(INDEX(Datos!$A$2:$K$102,Formulas!AS105,Formulas!AT105+2),"")))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IFERROR(INDEX(Datos!$A$2:$K$102,Formulas!AW104,RIGHT(Formulas!AY104)+2),"")))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IFERROR(INDEX(Datos!$A$2:$K$102,Formulas!AX105,Formulas!AY105+2),"")))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IFERROR(INDEX(Datos!$A$2:$K$102,Formulas!D105,RIGHT(Formulas!F105)+2),"")))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IFERROR(INDEX(Datos!$A$2:$K$102,Formulas!E106,Formulas!F106+2),"")))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IFERROR(INDEX(Datos!$A$2:$K$102,Formulas!I105,RIGHT(Formulas!K105)+2),"")))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IFERROR(INDEX(Datos!$A$2:$K$102,Formulas!J106,Formulas!K106+2),"")))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IFERROR(INDEX(Datos!$A$2:$K$102,Formulas!N105,RIGHT(Formulas!P105)+2),"")))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IFERROR(INDEX(Datos!$A$2:$K$102,Formulas!O106,Formulas!P106+2),"")))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IFERROR(INDEX(Datos!$A$2:$K$102,Formulas!S105,RIGHT(Formulas!U105)+2),"")))</f>
        <v>46005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IFERROR(INDEX(Datos!$A$2:$K$102,Formulas!T106,Formulas!U106+2),"")))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IFERROR(INDEX(Datos!$A$2:$K$102,Formulas!X105,RIGHT(Formulas!Z105)+2),"")))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IFERROR(INDEX(Datos!$A$2:$K$102,Formulas!Y106,Formulas!Z106+2),"")))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IFERROR(INDEX(Datos!$A$2:$K$102,Formulas!AC105,RIGHT(Formulas!AE105)+2),"")))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IFERROR(INDEX(Datos!$A$2:$K$102,Formulas!AD106,Formulas!AE106+2),"")))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IFERROR(INDEX(Datos!$A$2:$K$102,Formulas!AH105,RIGHT(Formulas!AJ105)+2),"")))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IFERROR(INDEX(Datos!$A$2:$K$102,Formulas!AI106,Formulas!AJ106+2),"")))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IFERROR(INDEX(Datos!$A$2:$K$102,Formulas!AM105,RIGHT(Formulas!AO105)+2),"")))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IFERROR(INDEX(Datos!$A$2:$K$102,Formulas!AN106,Formulas!AO106+2),"")))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IFERROR(INDEX(Datos!$A$2:$K$102,Formulas!AR105,RIGHT(Formulas!AT105)+2),"")))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IFERROR(INDEX(Datos!$A$2:$K$102,Formulas!AS106,Formulas!AT106+2),"")))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IFERROR(INDEX(Datos!$A$2:$K$102,Formulas!AW105,RIGHT(Formulas!AY105)+2),"")))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IFERROR(INDEX(Datos!$A$2:$K$102,Formulas!AX106,Formulas!AY106+2),"")))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IFERROR(INDEX(Datos!$A$2:$K$102,Formulas!D106,RIGHT(Formulas!F106)+2),"")))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IFERROR(INDEX(Datos!$A$2:$K$102,Formulas!E107,Formulas!F107+2),"")))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IFERROR(INDEX(Datos!$A$2:$K$102,Formulas!I106,RIGHT(Formulas!K106)+2),"")))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IFERROR(INDEX(Datos!$A$2:$K$102,Formulas!J107,Formulas!K107+2),"")))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IFERROR(INDEX(Datos!$A$2:$K$102,Formulas!N106,RIGHT(Formulas!P106)+2),"")))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IFERROR(INDEX(Datos!$A$2:$K$102,Formulas!O107,Formulas!P107+2),"")))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IFERROR(INDEX(Datos!$A$2:$K$102,Formulas!S106,RIGHT(Formulas!U106)+2),"")))</f>
        <v>46005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IFERROR(INDEX(Datos!$A$2:$K$102,Formulas!T107,Formulas!U107+2),"")))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IFERROR(INDEX(Datos!$A$2:$K$102,Formulas!X106,RIGHT(Formulas!Z106)+2),"")))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IFERROR(INDEX(Datos!$A$2:$K$102,Formulas!Y107,Formulas!Z107+2),"")))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IFERROR(INDEX(Datos!$A$2:$K$102,Formulas!AC106,RIGHT(Formulas!AE106)+2),"")))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IFERROR(INDEX(Datos!$A$2:$K$102,Formulas!AD107,Formulas!AE107+2),"")))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IFERROR(INDEX(Datos!$A$2:$K$102,Formulas!AH106,RIGHT(Formulas!AJ106)+2),"")))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IFERROR(INDEX(Datos!$A$2:$K$102,Formulas!AI107,Formulas!AJ107+2),"")))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IFERROR(INDEX(Datos!$A$2:$K$102,Formulas!AM106,RIGHT(Formulas!AO106)+2),"")))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IFERROR(INDEX(Datos!$A$2:$K$102,Formulas!AN107,Formulas!AO107+2),"")))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IFERROR(INDEX(Datos!$A$2:$K$102,Formulas!AR106,RIGHT(Formulas!AT106)+2),"")))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IFERROR(INDEX(Datos!$A$2:$K$102,Formulas!AS107,Formulas!AT107+2),"")))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IFERROR(INDEX(Datos!$A$2:$K$102,Formulas!AW106,RIGHT(Formulas!AY106)+2),"")))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IFERROR(INDEX(Datos!$A$2:$K$102,Formulas!AX107,Formulas!AY107+2),"")))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IFERROR(INDEX(Datos!$A$2:$K$102,Formulas!D107,RIGHT(Formulas!F107)+2),"")))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IFERROR(INDEX(Datos!$A$2:$K$102,Formulas!E108,Formulas!F108+2),"")))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IFERROR(INDEX(Datos!$A$2:$K$102,Formulas!I107,RIGHT(Formulas!K107)+2),"")))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IFERROR(INDEX(Datos!$A$2:$K$102,Formulas!J108,Formulas!K108+2),"")))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IFERROR(INDEX(Datos!$A$2:$K$102,Formulas!N107,RIGHT(Formulas!P107)+2),"")))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IFERROR(INDEX(Datos!$A$2:$K$102,Formulas!O108,Formulas!P108+2),"")))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IFERROR(INDEX(Datos!$A$2:$K$102,Formulas!S107,RIGHT(Formulas!U107)+2),"")))</f>
        <v>1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IFERROR(INDEX(Datos!$A$2:$K$102,Formulas!T108,Formulas!U108+2),"")))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IFERROR(INDEX(Datos!$A$2:$K$102,Formulas!X107,RIGHT(Formulas!Z107)+2),"")))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IFERROR(INDEX(Datos!$A$2:$K$102,Formulas!Y108,Formulas!Z108+2),"")))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IFERROR(INDEX(Datos!$A$2:$K$102,Formulas!AC107,RIGHT(Formulas!AE107)+2),"")))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IFERROR(INDEX(Datos!$A$2:$K$102,Formulas!AD108,Formulas!AE108+2),"")))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IFERROR(INDEX(Datos!$A$2:$K$102,Formulas!AH107,RIGHT(Formulas!AJ107)+2),"")))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IFERROR(INDEX(Datos!$A$2:$K$102,Formulas!AI108,Formulas!AJ108+2),"")))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IFERROR(INDEX(Datos!$A$2:$K$102,Formulas!AM107,RIGHT(Formulas!AO107)+2),"")))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IFERROR(INDEX(Datos!$A$2:$K$102,Formulas!AN108,Formulas!AO108+2),"")))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IFERROR(INDEX(Datos!$A$2:$K$102,Formulas!AR107,RIGHT(Formulas!AT107)+2),"")))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IFERROR(INDEX(Datos!$A$2:$K$102,Formulas!AS108,Formulas!AT108+2),"")))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IFERROR(INDEX(Datos!$A$2:$K$102,Formulas!AW107,RIGHT(Formulas!AY107)+2),"")))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IFERROR(INDEX(Datos!$A$2:$K$102,Formulas!AX108,Formulas!AY108+2),"")))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IFERROR(INDEX(Datos!$A$2:$K$102,Formulas!D108,RIGHT(Formulas!F108)+2),"")))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IFERROR(INDEX(Datos!$A$2:$K$102,Formulas!E109,Formulas!F109+2),"")))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IFERROR(INDEX(Datos!$A$2:$K$102,Formulas!I108,RIGHT(Formulas!K108)+2),"")))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IFERROR(INDEX(Datos!$A$2:$K$102,Formulas!J109,Formulas!K109+2),"")))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IFERROR(INDEX(Datos!$A$2:$K$102,Formulas!N108,RIGHT(Formulas!P108)+2),"")))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IFERROR(INDEX(Datos!$A$2:$K$102,Formulas!O109,Formulas!P109+2),"")))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IFERROR(INDEX(Datos!$A$2:$K$102,Formulas!S108,RIGHT(Formulas!U108)+2),"")))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IFERROR(INDEX(Datos!$A$2:$K$102,Formulas!T109,Formulas!U109+2),"")))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IFERROR(INDEX(Datos!$A$2:$K$102,Formulas!X108,RIGHT(Formulas!Z108)+2),"")))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IFERROR(INDEX(Datos!$A$2:$K$102,Formulas!Y109,Formulas!Z109+2),"")))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IFERROR(INDEX(Datos!$A$2:$K$102,Formulas!AC108,RIGHT(Formulas!AE108)+2),"")))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IFERROR(INDEX(Datos!$A$2:$K$102,Formulas!AD109,Formulas!AE109+2),"")))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IFERROR(INDEX(Datos!$A$2:$K$102,Formulas!AH108,RIGHT(Formulas!AJ108)+2),"")))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IFERROR(INDEX(Datos!$A$2:$K$102,Formulas!AI109,Formulas!AJ109+2),"")))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IFERROR(INDEX(Datos!$A$2:$K$102,Formulas!AM108,RIGHT(Formulas!AO108)+2),"")))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IFERROR(INDEX(Datos!$A$2:$K$102,Formulas!AN109,Formulas!AO109+2),"")))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IFERROR(INDEX(Datos!$A$2:$K$102,Formulas!AR108,RIGHT(Formulas!AT108)+2),"")))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IFERROR(INDEX(Datos!$A$2:$K$102,Formulas!AS109,Formulas!AT109+2),"")))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IFERROR(INDEX(Datos!$A$2:$K$102,Formulas!AW108,RIGHT(Formulas!AY108)+2),"")))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IFERROR(INDEX(Datos!$A$2:$K$102,Formulas!AX109,Formulas!AY109+2),"")))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IFERROR(INDEX(Datos!$A$2:$K$102,Formulas!D109,RIGHT(Formulas!F109)+2),"")))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IFERROR(INDEX(Datos!$A$2:$K$102,Formulas!E110,Formulas!F110+2),"")))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IFERROR(INDEX(Datos!$A$2:$K$102,Formulas!I109,RIGHT(Formulas!K109)+2),"")))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IFERROR(INDEX(Datos!$A$2:$K$102,Formulas!J110,Formulas!K110+2),"")))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IFERROR(INDEX(Datos!$A$2:$K$102,Formulas!N109,RIGHT(Formulas!P109)+2),"")))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IFERROR(INDEX(Datos!$A$2:$K$102,Formulas!O110,Formulas!P110+2),"")))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IFERROR(INDEX(Datos!$A$2:$K$102,Formulas!S109,RIGHT(Formulas!U109)+2),"")))</f>
        <v>Ing. Jenny Ruiz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IFERROR(INDEX(Datos!$A$2:$K$102,Formulas!T110,Formulas!U110+2),"")))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IFERROR(INDEX(Datos!$A$2:$K$102,Formulas!X109,RIGHT(Formulas!Z109)+2),"")))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IFERROR(INDEX(Datos!$A$2:$K$102,Formulas!Y110,Formulas!Z110+2),"")))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IFERROR(INDEX(Datos!$A$2:$K$102,Formulas!AC109,RIGHT(Formulas!AE109)+2),"")))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IFERROR(INDEX(Datos!$A$2:$K$102,Formulas!AD110,Formulas!AE110+2),"")))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IFERROR(INDEX(Datos!$A$2:$K$102,Formulas!AH109,RIGHT(Formulas!AJ109)+2),"")))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IFERROR(INDEX(Datos!$A$2:$K$102,Formulas!AI110,Formulas!AJ110+2),"")))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IFERROR(INDEX(Datos!$A$2:$K$102,Formulas!AM109,RIGHT(Formulas!AO109)+2),"")))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IFERROR(INDEX(Datos!$A$2:$K$102,Formulas!AN110,Formulas!AO110+2),"")))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IFERROR(INDEX(Datos!$A$2:$K$102,Formulas!AR109,RIGHT(Formulas!AT109)+2),"")))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IFERROR(INDEX(Datos!$A$2:$K$102,Formulas!AS110,Formulas!AT110+2),"")))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IFERROR(INDEX(Datos!$A$2:$K$102,Formulas!AW109,RIGHT(Formulas!AY109)+2),"")))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IFERROR(INDEX(Datos!$A$2:$K$102,Formulas!AX110,Formulas!AY110+2),"")))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IFERROR(INDEX(Datos!$A$2:$K$102,Formulas!D110,RIGHT(Formulas!F110)+2),"")))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IFERROR(INDEX(Datos!$A$2:$K$102,Formulas!E111,Formulas!F111+2),"")))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IFERROR(INDEX(Datos!$A$2:$K$102,Formulas!I110,RIGHT(Formulas!K110)+2),"")))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IFERROR(INDEX(Datos!$A$2:$K$102,Formulas!J111,Formulas!K111+2),"")))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IFERROR(INDEX(Datos!$A$2:$K$102,Formulas!N110,RIGHT(Formulas!P110)+2),"")))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IFERROR(INDEX(Datos!$A$2:$K$102,Formulas!O111,Formulas!P111+2),"")))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IFERROR(INDEX(Datos!$A$2:$K$102,Formulas!S110,RIGHT(Formulas!U110)+2),"")))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IFERROR(INDEX(Datos!$A$2:$K$102,Formulas!T111,Formulas!U111+2),"")))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IFERROR(INDEX(Datos!$A$2:$K$102,Formulas!X110,RIGHT(Formulas!Z110)+2),"")))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IFERROR(INDEX(Datos!$A$2:$K$102,Formulas!Y111,Formulas!Z111+2),"")))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IFERROR(INDEX(Datos!$A$2:$K$102,Formulas!AC110,RIGHT(Formulas!AE110)+2),"")))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IFERROR(INDEX(Datos!$A$2:$K$102,Formulas!AD111,Formulas!AE111+2),"")))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IFERROR(INDEX(Datos!$A$2:$K$102,Formulas!AH110,RIGHT(Formulas!AJ110)+2),"")))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IFERROR(INDEX(Datos!$A$2:$K$102,Formulas!AI111,Formulas!AJ111+2),"")))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IFERROR(INDEX(Datos!$A$2:$K$102,Formulas!AM110,RIGHT(Formulas!AO110)+2),"")))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IFERROR(INDEX(Datos!$A$2:$K$102,Formulas!AN111,Formulas!AO111+2),"")))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IFERROR(INDEX(Datos!$A$2:$K$102,Formulas!AR110,RIGHT(Formulas!AT110)+2),"")))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IFERROR(INDEX(Datos!$A$2:$K$102,Formulas!AS111,Formulas!AT111+2),"")))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IFERROR(INDEX(Datos!$A$2:$K$102,Formulas!AW110,RIGHT(Formulas!AY110)+2),"")))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IFERROR(INDEX(Datos!$A$2:$K$102,Formulas!AX111,Formulas!AY111+2),"")))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IFERROR(INDEX(Datos!$A$2:$K$102,Formulas!D111,RIGHT(Formulas!F111)+2),"")))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IFERROR(INDEX(Datos!$A$2:$K$102,Formulas!E112,Formulas!F112+2),"")))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IFERROR(INDEX(Datos!$A$2:$K$102,Formulas!I111,RIGHT(Formulas!K111)+2),"")))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IFERROR(INDEX(Datos!$A$2:$K$102,Formulas!J112,Formulas!K112+2),"")))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IFERROR(INDEX(Datos!$A$2:$K$102,Formulas!N111,RIGHT(Formulas!P111)+2),"")))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IFERROR(INDEX(Datos!$A$2:$K$102,Formulas!O112,Formulas!P112+2),"")))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46: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IFERROR(INDEX(Datos!$A$2:$K$102,Formulas!S111,RIGHT(Formulas!U111)+2),"")))</f>
        <v>REQ005-3 Desarrollar la lógica de backend para filtrar y mostrar los contratos que coincidan con los datos ingresados.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IFERROR(INDEX(Datos!$A$2:$K$102,Formulas!T112,Formulas!U112+2),"")))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IFERROR(INDEX(Datos!$A$2:$K$102,Formulas!X111,RIGHT(Formulas!Z111)+2),"")))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IFERROR(INDEX(Datos!$A$2:$K$102,Formulas!Y112,Formulas!Z112+2),"")))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IFERROR(INDEX(Datos!$A$2:$K$102,Formulas!AC111,RIGHT(Formulas!AE111)+2),"")))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IFERROR(INDEX(Datos!$A$2:$K$102,Formulas!AD112,Formulas!AE112+2),"")))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IFERROR(INDEX(Datos!$A$2:$K$102,Formulas!AH111,RIGHT(Formulas!AJ111)+2),"")))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IFERROR(INDEX(Datos!$A$2:$K$102,Formulas!AI112,Formulas!AJ112+2),"")))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IFERROR(INDEX(Datos!$A$2:$K$102,Formulas!AM111,RIGHT(Formulas!AO111)+2),"")))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IFERROR(INDEX(Datos!$A$2:$K$102,Formulas!AN112,Formulas!AO112+2),"")))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IFERROR(INDEX(Datos!$A$2:$K$102,Formulas!AR111,RIGHT(Formulas!AT111)+2),"")))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IFERROR(INDEX(Datos!$A$2:$K$102,Formulas!AS112,Formulas!AT112+2),"")))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IFERROR(INDEX(Datos!$A$2:$K$102,Formulas!AW111,RIGHT(Formulas!AY111)+2),"")))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IFERROR(INDEX(Datos!$A$2:$K$102,Formulas!AX112,Formulas!AY112+2),"")))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IFERROR(INDEX(Datos!$A$2:$K$102,Formulas!D112,RIGHT(Formulas!F112)+2),"")))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IFERROR(INDEX(Datos!$A$2:$K$102,Formulas!E113,Formulas!F113+2),"")))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IFERROR(INDEX(Datos!$A$2:$K$102,Formulas!I112,RIGHT(Formulas!K112)+2),"")))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IFERROR(INDEX(Datos!$A$2:$K$102,Formulas!J113,Formulas!K113+2),"")))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IFERROR(INDEX(Datos!$A$2:$K$102,Formulas!N112,RIGHT(Formulas!P112)+2),"")))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IFERROR(INDEX(Datos!$A$2:$K$102,Formulas!O113,Formulas!P113+2),"")))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IFERROR(INDEX(Datos!$A$2:$K$102,Formulas!S112,RIGHT(Formulas!U112)+2),"")))</f>
        <v>Desarrollo de lógica backend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IFERROR(INDEX(Datos!$A$2:$K$102,Formulas!T113,Formulas!U113+2),"")))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IFERROR(INDEX(Datos!$A$2:$K$102,Formulas!X112,RIGHT(Formulas!Z112)+2),"")))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IFERROR(INDEX(Datos!$A$2:$K$102,Formulas!Y113,Formulas!Z113+2),"")))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IFERROR(INDEX(Datos!$A$2:$K$102,Formulas!AC112,RIGHT(Formulas!AE112)+2),"")))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IFERROR(INDEX(Datos!$A$2:$K$102,Formulas!AD113,Formulas!AE113+2),"")))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IFERROR(INDEX(Datos!$A$2:$K$102,Formulas!AH112,RIGHT(Formulas!AJ112)+2),"")))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IFERROR(INDEX(Datos!$A$2:$K$102,Formulas!AI113,Formulas!AJ113+2),"")))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IFERROR(INDEX(Datos!$A$2:$K$102,Formulas!AM112,RIGHT(Formulas!AO112)+2),"")))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IFERROR(INDEX(Datos!$A$2:$K$102,Formulas!AN113,Formulas!AO113+2),"")))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IFERROR(INDEX(Datos!$A$2:$K$102,Formulas!AR112,RIGHT(Formulas!AT112)+2),"")))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IFERROR(INDEX(Datos!$A$2:$K$102,Formulas!AS113,Formulas!AT113+2),"")))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IFERROR(INDEX(Datos!$A$2:$K$102,Formulas!AW112,RIGHT(Formulas!AY112)+2),"")))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IFERROR(INDEX(Datos!$A$2:$K$102,Formulas!AX113,Formulas!AY113+2),"")))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IFERROR(INDEX(Datos!$A$2:$K$102,Formulas!D113,RIGHT(Formulas!F113)+2),"")))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IFERROR(INDEX(Datos!$A$2:$K$102,Formulas!E114,Formulas!F114+2),"")))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IFERROR(INDEX(Datos!$A$2:$K$102,Formulas!I113,RIGHT(Formulas!K113)+2),"")))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IFERROR(INDEX(Datos!$A$2:$K$102,Formulas!J114,Formulas!K114+2),"")))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IFERROR(INDEX(Datos!$A$2:$K$102,Formulas!N113,RIGHT(Formulas!P113)+2),"")))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IFERROR(INDEX(Datos!$A$2:$K$102,Formulas!O114,Formulas!P114+2),"")))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IFERROR(INDEX(Datos!$A$2:$K$102,Formulas!S113,RIGHT(Formulas!U113)+2),"")))</f>
        <v>45847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IFERROR(INDEX(Datos!$A$2:$K$102,Formulas!T114,Formulas!U114+2),"")))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IFERROR(INDEX(Datos!$A$2:$K$102,Formulas!X113,RIGHT(Formulas!Z113)+2),"")))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IFERROR(INDEX(Datos!$A$2:$K$102,Formulas!Y114,Formulas!Z114+2),"")))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IFERROR(INDEX(Datos!$A$2:$K$102,Formulas!AC113,RIGHT(Formulas!AE113)+2),"")))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IFERROR(INDEX(Datos!$A$2:$K$102,Formulas!AD114,Formulas!AE114+2),"")))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IFERROR(INDEX(Datos!$A$2:$K$102,Formulas!AH113,RIGHT(Formulas!AJ113)+2),"")))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IFERROR(INDEX(Datos!$A$2:$K$102,Formulas!AI114,Formulas!AJ114+2),"")))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IFERROR(INDEX(Datos!$A$2:$K$102,Formulas!AM113,RIGHT(Formulas!AO113)+2),"")))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IFERROR(INDEX(Datos!$A$2:$K$102,Formulas!AN114,Formulas!AO114+2),"")))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IFERROR(INDEX(Datos!$A$2:$K$102,Formulas!AR113,RIGHT(Formulas!AT113)+2),"")))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IFERROR(INDEX(Datos!$A$2:$K$102,Formulas!AS114,Formulas!AT114+2),"")))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IFERROR(INDEX(Datos!$A$2:$K$102,Formulas!AW113,RIGHT(Formulas!AY113)+2),"")))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IFERROR(INDEX(Datos!$A$2:$K$102,Formulas!AX114,Formulas!AY114+2),"")))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IFERROR(INDEX(Datos!$A$2:$K$102,Formulas!D114,RIGHT(Formulas!F114)+2),"")))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IFERROR(INDEX(Datos!$A$2:$K$102,Formulas!E115,Formulas!F115+2),"")))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IFERROR(INDEX(Datos!$A$2:$K$102,Formulas!I114,RIGHT(Formulas!K114)+2),"")))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IFERROR(INDEX(Datos!$A$2:$K$102,Formulas!J115,Formulas!K115+2),"")))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IFERROR(INDEX(Datos!$A$2:$K$102,Formulas!N114,RIGHT(Formulas!P114)+2),"")))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IFERROR(INDEX(Datos!$A$2:$K$102,Formulas!O115,Formulas!P115+2),"")))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IFERROR(INDEX(Datos!$A$2:$K$102,Formulas!S114,RIGHT(Formulas!U114)+2),"")))</f>
        <v>45849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IFERROR(INDEX(Datos!$A$2:$K$102,Formulas!T115,Formulas!U115+2),"")))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IFERROR(INDEX(Datos!$A$2:$K$102,Formulas!X114,RIGHT(Formulas!Z114)+2),"")))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IFERROR(INDEX(Datos!$A$2:$K$102,Formulas!Y115,Formulas!Z115+2),"")))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IFERROR(INDEX(Datos!$A$2:$K$102,Formulas!AC114,RIGHT(Formulas!AE114)+2),"")))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IFERROR(INDEX(Datos!$A$2:$K$102,Formulas!AD115,Formulas!AE115+2),"")))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IFERROR(INDEX(Datos!$A$2:$K$102,Formulas!AH114,RIGHT(Formulas!AJ114)+2),"")))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IFERROR(INDEX(Datos!$A$2:$K$102,Formulas!AI115,Formulas!AJ115+2),"")))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IFERROR(INDEX(Datos!$A$2:$K$102,Formulas!AM114,RIGHT(Formulas!AO114)+2),"")))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IFERROR(INDEX(Datos!$A$2:$K$102,Formulas!AN115,Formulas!AO115+2),"")))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IFERROR(INDEX(Datos!$A$2:$K$102,Formulas!AR114,RIGHT(Formulas!AT114)+2),"")))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IFERROR(INDEX(Datos!$A$2:$K$102,Formulas!AS115,Formulas!AT115+2),"")))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IFERROR(INDEX(Datos!$A$2:$K$102,Formulas!AW114,RIGHT(Formulas!AY114)+2),"")))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IFERROR(INDEX(Datos!$A$2:$K$102,Formulas!AX115,Formulas!AY115+2),"")))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IFERROR(INDEX(Datos!$A$2:$K$102,Formulas!D115,RIGHT(Formulas!F115)+2),"")))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IFERROR(INDEX(Datos!$A$2:$K$102,Formulas!E116,Formulas!F116+2),"")))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IFERROR(INDEX(Datos!$A$2:$K$102,Formulas!I115,RIGHT(Formulas!K115)+2),"")))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IFERROR(INDEX(Datos!$A$2:$K$102,Formulas!J116,Formulas!K116+2),"")))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IFERROR(INDEX(Datos!$A$2:$K$102,Formulas!N115,RIGHT(Formulas!P115)+2),"")))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IFERROR(INDEX(Datos!$A$2:$K$102,Formulas!O116,Formulas!P116+2),"")))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IFERROR(INDEX(Datos!$A$2:$K$102,Formulas!S115,RIGHT(Formulas!U115)+2),"")))</f>
        <v>45849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IFERROR(INDEX(Datos!$A$2:$K$102,Formulas!T116,Formulas!U116+2),"")))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IFERROR(INDEX(Datos!$A$2:$K$102,Formulas!X115,RIGHT(Formulas!Z115)+2),"")))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IFERROR(INDEX(Datos!$A$2:$K$102,Formulas!Y116,Formulas!Z116+2),"")))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IFERROR(INDEX(Datos!$A$2:$K$102,Formulas!AC115,RIGHT(Formulas!AE115)+2),"")))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IFERROR(INDEX(Datos!$A$2:$K$102,Formulas!AD116,Formulas!AE116+2),"")))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IFERROR(INDEX(Datos!$A$2:$K$102,Formulas!AH115,RIGHT(Formulas!AJ115)+2),"")))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IFERROR(INDEX(Datos!$A$2:$K$102,Formulas!AI116,Formulas!AJ116+2),"")))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IFERROR(INDEX(Datos!$A$2:$K$102,Formulas!AM115,RIGHT(Formulas!AO115)+2),"")))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IFERROR(INDEX(Datos!$A$2:$K$102,Formulas!AN116,Formulas!AO116+2),"")))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IFERROR(INDEX(Datos!$A$2:$K$102,Formulas!AR115,RIGHT(Formulas!AT115)+2),"")))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IFERROR(INDEX(Datos!$A$2:$K$102,Formulas!AS116,Formulas!AT116+2),"")))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IFERROR(INDEX(Datos!$A$2:$K$102,Formulas!AW115,RIGHT(Formulas!AY115)+2),"")))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IFERROR(INDEX(Datos!$A$2:$K$102,Formulas!AX116,Formulas!AY116+2),"")))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IFERROR(INDEX(Datos!$A$2:$K$102,Formulas!D116,RIGHT(Formulas!F116)+2),"")))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IFERROR(INDEX(Datos!$A$2:$K$102,Formulas!E117,Formulas!F117+2),"")))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IFERROR(INDEX(Datos!$A$2:$K$102,Formulas!I116,RIGHT(Formulas!K116)+2),"")))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IFERROR(INDEX(Datos!$A$2:$K$102,Formulas!J117,Formulas!K117+2),"")))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IFERROR(INDEX(Datos!$A$2:$K$102,Formulas!N116,RIGHT(Formulas!P116)+2),"")))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IFERROR(INDEX(Datos!$A$2:$K$102,Formulas!O117,Formulas!P117+2),"")))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IFERROR(INDEX(Datos!$A$2:$K$102,Formulas!S116,RIGHT(Formulas!U116)+2),"")))</f>
        <v>3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IFERROR(INDEX(Datos!$A$2:$K$102,Formulas!T117,Formulas!U117+2),"")))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IFERROR(INDEX(Datos!$A$2:$K$102,Formulas!X116,RIGHT(Formulas!Z116)+2),"")))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IFERROR(INDEX(Datos!$A$2:$K$102,Formulas!Y117,Formulas!Z117+2),"")))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IFERROR(INDEX(Datos!$A$2:$K$102,Formulas!AC116,RIGHT(Formulas!AE116)+2),"")))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IFERROR(INDEX(Datos!$A$2:$K$102,Formulas!AD117,Formulas!AE117+2),"")))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IFERROR(INDEX(Datos!$A$2:$K$102,Formulas!AH116,RIGHT(Formulas!AJ116)+2),"")))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IFERROR(INDEX(Datos!$A$2:$K$102,Formulas!AI117,Formulas!AJ117+2),"")))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IFERROR(INDEX(Datos!$A$2:$K$102,Formulas!AM116,RIGHT(Formulas!AO116)+2),"")))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IFERROR(INDEX(Datos!$A$2:$K$102,Formulas!AN117,Formulas!AO117+2),"")))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IFERROR(INDEX(Datos!$A$2:$K$102,Formulas!AR116,RIGHT(Formulas!AT116)+2),"")))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IFERROR(INDEX(Datos!$A$2:$K$102,Formulas!AS117,Formulas!AT117+2),"")))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IFERROR(INDEX(Datos!$A$2:$K$102,Formulas!AW116,RIGHT(Formulas!AY116)+2),"")))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IFERROR(INDEX(Datos!$A$2:$K$102,Formulas!AX117,Formulas!AY117+2),"")))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IFERROR(INDEX(Datos!$A$2:$K$102,Formulas!D117,RIGHT(Formulas!F117)+2),"")))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IFERROR(INDEX(Datos!$A$2:$K$102,Formulas!E118,Formulas!F118+2),"")))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IFERROR(INDEX(Datos!$A$2:$K$102,Formulas!I117,RIGHT(Formulas!K117)+2),"")))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IFERROR(INDEX(Datos!$A$2:$K$102,Formulas!J118,Formulas!K118+2),"")))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IFERROR(INDEX(Datos!$A$2:$K$102,Formulas!N117,RIGHT(Formulas!P117)+2),"")))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IFERROR(INDEX(Datos!$A$2:$K$102,Formulas!O118,Formulas!P118+2),"")))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IFERROR(INDEX(Datos!$A$2:$K$102,Formulas!S117,RIGHT(Formulas!U117)+2),"")))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IFERROR(INDEX(Datos!$A$2:$K$102,Formulas!T118,Formulas!U118+2),"")))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IFERROR(INDEX(Datos!$A$2:$K$102,Formulas!X117,RIGHT(Formulas!Z117)+2),"")))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IFERROR(INDEX(Datos!$A$2:$K$102,Formulas!Y118,Formulas!Z118+2),"")))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IFERROR(INDEX(Datos!$A$2:$K$102,Formulas!AC117,RIGHT(Formulas!AE117)+2),"")))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IFERROR(INDEX(Datos!$A$2:$K$102,Formulas!AD118,Formulas!AE118+2),"")))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IFERROR(INDEX(Datos!$A$2:$K$102,Formulas!AH117,RIGHT(Formulas!AJ117)+2),"")))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IFERROR(INDEX(Datos!$A$2:$K$102,Formulas!AI118,Formulas!AJ118+2),"")))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IFERROR(INDEX(Datos!$A$2:$K$102,Formulas!AM117,RIGHT(Formulas!AO117)+2),"")))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IFERROR(INDEX(Datos!$A$2:$K$102,Formulas!AN118,Formulas!AO118+2),"")))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IFERROR(INDEX(Datos!$A$2:$K$102,Formulas!AR117,RIGHT(Formulas!AT117)+2),"")))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IFERROR(INDEX(Datos!$A$2:$K$102,Formulas!AS118,Formulas!AT118+2),"")))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IFERROR(INDEX(Datos!$A$2:$K$102,Formulas!AW117,RIGHT(Formulas!AY117)+2),"")))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IFERROR(INDEX(Datos!$A$2:$K$102,Formulas!AX118,Formulas!AY118+2),"")))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IFERROR(INDEX(Datos!$A$2:$K$102,Formulas!D118,RIGHT(Formulas!F118)+2),"")))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IFERROR(INDEX(Datos!$A$2:$K$102,Formulas!E119,Formulas!F119+2),"")))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IFERROR(INDEX(Datos!$A$2:$K$102,Formulas!I118,RIGHT(Formulas!K118)+2),"")))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IFERROR(INDEX(Datos!$A$2:$K$102,Formulas!J119,Formulas!K119+2),"")))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IFERROR(INDEX(Datos!$A$2:$K$102,Formulas!N118,RIGHT(Formulas!P118)+2),"")))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IFERROR(INDEX(Datos!$A$2:$K$102,Formulas!O119,Formulas!P119+2),"")))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IFERROR(INDEX(Datos!$A$2:$K$102,Formulas!S118,RIGHT(Formulas!U118)+2),"")))</f>
        <v>Paulina Quishpe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IFERROR(INDEX(Datos!$A$2:$K$102,Formulas!T119,Formulas!U119+2),"")))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IFERROR(INDEX(Datos!$A$2:$K$102,Formulas!X118,RIGHT(Formulas!Z118)+2),"")))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IFERROR(INDEX(Datos!$A$2:$K$102,Formulas!Y119,Formulas!Z119+2),"")))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IFERROR(INDEX(Datos!$A$2:$K$102,Formulas!AC118,RIGHT(Formulas!AE118)+2),"")))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IFERROR(INDEX(Datos!$A$2:$K$102,Formulas!AD119,Formulas!AE119+2),"")))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IFERROR(INDEX(Datos!$A$2:$K$102,Formulas!AH118,RIGHT(Formulas!AJ118)+2),"")))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IFERROR(INDEX(Datos!$A$2:$K$102,Formulas!AI119,Formulas!AJ119+2),"")))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IFERROR(INDEX(Datos!$A$2:$K$102,Formulas!AM118,RIGHT(Formulas!AO118)+2),"")))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IFERROR(INDEX(Datos!$A$2:$K$102,Formulas!AN119,Formulas!AO119+2),"")))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IFERROR(INDEX(Datos!$A$2:$K$102,Formulas!AR118,RIGHT(Formulas!AT118)+2),"")))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IFERROR(INDEX(Datos!$A$2:$K$102,Formulas!AS119,Formulas!AT119+2),"")))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IFERROR(INDEX(Datos!$A$2:$K$102,Formulas!AW118,RIGHT(Formulas!AY118)+2),"")))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IFERROR(INDEX(Datos!$A$2:$K$102,Formulas!AX119,Formulas!AY119+2),"")))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IFERROR(INDEX(Datos!$A$2:$K$102,Formulas!D119,RIGHT(Formulas!F119)+2),"")))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IFERROR(INDEX(Datos!$A$2:$K$102,Formulas!E120,Formulas!F120+2),"")))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IFERROR(INDEX(Datos!$A$2:$K$102,Formulas!I119,RIGHT(Formulas!K119)+2),"")))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IFERROR(INDEX(Datos!$A$2:$K$102,Formulas!J120,Formulas!K120+2),"")))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IFERROR(INDEX(Datos!$A$2:$K$102,Formulas!N119,RIGHT(Formulas!P119)+2),"")))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IFERROR(INDEX(Datos!$A$2:$K$102,Formulas!O120,Formulas!P120+2),"")))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IFERROR(INDEX(Datos!$A$2:$K$102,Formulas!S119,RIGHT(Formulas!U119)+2),"")))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IFERROR(INDEX(Datos!$A$2:$K$102,Formulas!T120,Formulas!U120+2),"")))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IFERROR(INDEX(Datos!$A$2:$K$102,Formulas!X119,RIGHT(Formulas!Z119)+2),"")))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IFERROR(INDEX(Datos!$A$2:$K$102,Formulas!Y120,Formulas!Z120+2),"")))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IFERROR(INDEX(Datos!$A$2:$K$102,Formulas!AC119,RIGHT(Formulas!AE119)+2),"")))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IFERROR(INDEX(Datos!$A$2:$K$102,Formulas!AD120,Formulas!AE120+2),"")))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IFERROR(INDEX(Datos!$A$2:$K$102,Formulas!AH119,RIGHT(Formulas!AJ119)+2),"")))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IFERROR(INDEX(Datos!$A$2:$K$102,Formulas!AI120,Formulas!AJ120+2),"")))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IFERROR(INDEX(Datos!$A$2:$K$102,Formulas!AM119,RIGHT(Formulas!AO119)+2),"")))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IFERROR(INDEX(Datos!$A$2:$K$102,Formulas!AN120,Formulas!AO120+2),"")))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IFERROR(INDEX(Datos!$A$2:$K$102,Formulas!AR119,RIGHT(Formulas!AT119)+2),"")))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IFERROR(INDEX(Datos!$A$2:$K$102,Formulas!AS120,Formulas!AT120+2),"")))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IFERROR(INDEX(Datos!$A$2:$K$102,Formulas!AW119,RIGHT(Formulas!AY119)+2),"")))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IFERROR(INDEX(Datos!$A$2:$K$102,Formulas!AX120,Formulas!AY120+2),"")))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IFERROR(INDEX(Datos!$A$2:$K$102,Formulas!D120,RIGHT(Formulas!F120)+2),"")))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IFERROR(INDEX(Datos!$A$2:$K$102,Formulas!E121,Formulas!F121+2),"")))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IFERROR(INDEX(Datos!$A$2:$K$102,Formulas!I120,RIGHT(Formulas!K120)+2),"")))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IFERROR(INDEX(Datos!$A$2:$K$102,Formulas!J121,Formulas!K121+2),"")))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IFERROR(INDEX(Datos!$A$2:$K$102,Formulas!N120,RIGHT(Formulas!P120)+2),"")))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IFERROR(INDEX(Datos!$A$2:$K$102,Formulas!O121,Formulas!P121+2),"")))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45: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IFERROR(INDEX(Datos!$A$2:$K$102,Formulas!S120,RIGHT(Formulas!U120)+2),"")))</f>
        <v>REQ005-2 Diseñar e implementar la barra de búsqueda con campos: para Laboral cédula y para Civil RUC.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IFERROR(INDEX(Datos!$A$2:$K$102,Formulas!T121,Formulas!U121+2),"")))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IFERROR(INDEX(Datos!$A$2:$K$102,Formulas!X120,RIGHT(Formulas!Z120)+2),"")))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IFERROR(INDEX(Datos!$A$2:$K$102,Formulas!Y121,Formulas!Z121+2),"")))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IFERROR(INDEX(Datos!$A$2:$K$102,Formulas!AC120,RIGHT(Formulas!AE120)+2),"")))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IFERROR(INDEX(Datos!$A$2:$K$102,Formulas!AD121,Formulas!AE121+2),"")))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IFERROR(INDEX(Datos!$A$2:$K$102,Formulas!AH120,RIGHT(Formulas!AJ120)+2),"")))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IFERROR(INDEX(Datos!$A$2:$K$102,Formulas!AI121,Formulas!AJ121+2),"")))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IFERROR(INDEX(Datos!$A$2:$K$102,Formulas!AM120,RIGHT(Formulas!AO120)+2),"")))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IFERROR(INDEX(Datos!$A$2:$K$102,Formulas!AN121,Formulas!AO121+2),"")))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IFERROR(INDEX(Datos!$A$2:$K$102,Formulas!AR120,RIGHT(Formulas!AT120)+2),"")))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IFERROR(INDEX(Datos!$A$2:$K$102,Formulas!AS121,Formulas!AT121+2),"")))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IFERROR(INDEX(Datos!$A$2:$K$102,Formulas!AW120,RIGHT(Formulas!AY120)+2),"")))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IFERROR(INDEX(Datos!$A$2:$K$102,Formulas!AX121,Formulas!AY121+2),"")))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IFERROR(INDEX(Datos!$A$2:$K$102,Formulas!D121,RIGHT(Formulas!F121)+2),"")))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IFERROR(INDEX(Datos!$A$2:$K$102,Formulas!E122,Formulas!F122+2),"")))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IFERROR(INDEX(Datos!$A$2:$K$102,Formulas!I121,RIGHT(Formulas!K121)+2),"")))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IFERROR(INDEX(Datos!$A$2:$K$102,Formulas!J122,Formulas!K122+2),"")))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IFERROR(INDEX(Datos!$A$2:$K$102,Formulas!N121,RIGHT(Formulas!P121)+2),"")))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IFERROR(INDEX(Datos!$A$2:$K$102,Formulas!O122,Formulas!P122+2),"")))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IFERROR(INDEX(Datos!$A$2:$K$102,Formulas!S121,RIGHT(Formulas!U121)+2),"")))</f>
        <v>Barra de búsqueda según tipo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IFERROR(INDEX(Datos!$A$2:$K$102,Formulas!T122,Formulas!U122+2),"")))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IFERROR(INDEX(Datos!$A$2:$K$102,Formulas!X121,RIGHT(Formulas!Z121)+2),"")))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IFERROR(INDEX(Datos!$A$2:$K$102,Formulas!Y122,Formulas!Z122+2),"")))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IFERROR(INDEX(Datos!$A$2:$K$102,Formulas!AC121,RIGHT(Formulas!AE121)+2),"")))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IFERROR(INDEX(Datos!$A$2:$K$102,Formulas!AD122,Formulas!AE122+2),"")))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IFERROR(INDEX(Datos!$A$2:$K$102,Formulas!AH121,RIGHT(Formulas!AJ121)+2),"")))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IFERROR(INDEX(Datos!$A$2:$K$102,Formulas!AI122,Formulas!AJ122+2),"")))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IFERROR(INDEX(Datos!$A$2:$K$102,Formulas!AM121,RIGHT(Formulas!AO121)+2),"")))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IFERROR(INDEX(Datos!$A$2:$K$102,Formulas!AN122,Formulas!AO122+2),"")))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IFERROR(INDEX(Datos!$A$2:$K$102,Formulas!AR121,RIGHT(Formulas!AT121)+2),"")))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IFERROR(INDEX(Datos!$A$2:$K$102,Formulas!AS122,Formulas!AT122+2),"")))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IFERROR(INDEX(Datos!$A$2:$K$102,Formulas!AW121,RIGHT(Formulas!AY121)+2),"")))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IFERROR(INDEX(Datos!$A$2:$K$102,Formulas!AX122,Formulas!AY122+2),"")))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IFERROR(INDEX(Datos!$A$2:$K$102,Formulas!D122,RIGHT(Formulas!F122)+2),"")))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IFERROR(INDEX(Datos!$A$2:$K$102,Formulas!E123,Formulas!F123+2),"")))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IFERROR(INDEX(Datos!$A$2:$K$102,Formulas!I122,RIGHT(Formulas!K122)+2),"")))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IFERROR(INDEX(Datos!$A$2:$K$102,Formulas!J123,Formulas!K123+2),"")))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IFERROR(INDEX(Datos!$A$2:$K$102,Formulas!N122,RIGHT(Formulas!P122)+2),"")))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IFERROR(INDEX(Datos!$A$2:$K$102,Formulas!O123,Formulas!P123+2),"")))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IFERROR(INDEX(Datos!$A$2:$K$102,Formulas!S122,RIGHT(Formulas!U122)+2),"")))</f>
        <v>45846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IFERROR(INDEX(Datos!$A$2:$K$102,Formulas!T123,Formulas!U123+2),"")))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IFERROR(INDEX(Datos!$A$2:$K$102,Formulas!X122,RIGHT(Formulas!Z122)+2),"")))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IFERROR(INDEX(Datos!$A$2:$K$102,Formulas!Y123,Formulas!Z123+2),"")))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IFERROR(INDEX(Datos!$A$2:$K$102,Formulas!AC122,RIGHT(Formulas!AE122)+2),"")))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IFERROR(INDEX(Datos!$A$2:$K$102,Formulas!AD123,Formulas!AE123+2),"")))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IFERROR(INDEX(Datos!$A$2:$K$102,Formulas!AH122,RIGHT(Formulas!AJ122)+2),"")))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IFERROR(INDEX(Datos!$A$2:$K$102,Formulas!AI123,Formulas!AJ123+2),"")))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IFERROR(INDEX(Datos!$A$2:$K$102,Formulas!AM122,RIGHT(Formulas!AO122)+2),"")))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IFERROR(INDEX(Datos!$A$2:$K$102,Formulas!AN123,Formulas!AO123+2),"")))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IFERROR(INDEX(Datos!$A$2:$K$102,Formulas!AR122,RIGHT(Formulas!AT122)+2),"")))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IFERROR(INDEX(Datos!$A$2:$K$102,Formulas!AS123,Formulas!AT123+2),"")))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IFERROR(INDEX(Datos!$A$2:$K$102,Formulas!AW122,RIGHT(Formulas!AY122)+2),"")))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IFERROR(INDEX(Datos!$A$2:$K$102,Formulas!AX123,Formulas!AY123+2),"")))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IFERROR(INDEX(Datos!$A$2:$K$102,Formulas!D123,RIGHT(Formulas!F123)+2),"")))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IFERROR(INDEX(Datos!$A$2:$K$102,Formulas!E124,Formulas!F124+2),"")))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IFERROR(INDEX(Datos!$A$2:$K$102,Formulas!I123,RIGHT(Formulas!K123)+2),"")))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IFERROR(INDEX(Datos!$A$2:$K$102,Formulas!J124,Formulas!K124+2),"")))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IFERROR(INDEX(Datos!$A$2:$K$102,Formulas!N123,RIGHT(Formulas!P123)+2),"")))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IFERROR(INDEX(Datos!$A$2:$K$102,Formulas!O124,Formulas!P124+2),"")))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IFERROR(INDEX(Datos!$A$2:$K$102,Formulas!S123,RIGHT(Formulas!U123)+2),"")))</f>
        <v>45846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IFERROR(INDEX(Datos!$A$2:$K$102,Formulas!T124,Formulas!U124+2),"")))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IFERROR(INDEX(Datos!$A$2:$K$102,Formulas!X123,RIGHT(Formulas!Z123)+2),"")))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IFERROR(INDEX(Datos!$A$2:$K$102,Formulas!Y124,Formulas!Z124+2),"")))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IFERROR(INDEX(Datos!$A$2:$K$102,Formulas!AC123,RIGHT(Formulas!AE123)+2),"")))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IFERROR(INDEX(Datos!$A$2:$K$102,Formulas!AD124,Formulas!AE124+2),"")))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IFERROR(INDEX(Datos!$A$2:$K$102,Formulas!AH123,RIGHT(Formulas!AJ123)+2),"")))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IFERROR(INDEX(Datos!$A$2:$K$102,Formulas!AI124,Formulas!AJ124+2),"")))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IFERROR(INDEX(Datos!$A$2:$K$102,Formulas!AM123,RIGHT(Formulas!AO123)+2),"")))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IFERROR(INDEX(Datos!$A$2:$K$102,Formulas!AN124,Formulas!AO124+2),"")))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IFERROR(INDEX(Datos!$A$2:$K$102,Formulas!AR123,RIGHT(Formulas!AT123)+2),"")))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IFERROR(INDEX(Datos!$A$2:$K$102,Formulas!AS124,Formulas!AT124+2),"")))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IFERROR(INDEX(Datos!$A$2:$K$102,Formulas!AW123,RIGHT(Formulas!AY123)+2),"")))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IFERROR(INDEX(Datos!$A$2:$K$102,Formulas!AX124,Formulas!AY124+2),"")))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IFERROR(INDEX(Datos!$A$2:$K$102,Formulas!D124,RIGHT(Formulas!F124)+2),"")))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IFERROR(INDEX(Datos!$A$2:$K$102,Formulas!E125,Formulas!F125+2),"")))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IFERROR(INDEX(Datos!$A$2:$K$102,Formulas!I124,RIGHT(Formulas!K124)+2),"")))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IFERROR(INDEX(Datos!$A$2:$K$102,Formulas!J125,Formulas!K125+2),"")))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IFERROR(INDEX(Datos!$A$2:$K$102,Formulas!N124,RIGHT(Formulas!P124)+2),"")))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IFERROR(INDEX(Datos!$A$2:$K$102,Formulas!O125,Formulas!P125+2),"")))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IFERROR(INDEX(Datos!$A$2:$K$102,Formulas!S124,RIGHT(Formulas!U124)+2),"")))</f>
        <v>45846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IFERROR(INDEX(Datos!$A$2:$K$102,Formulas!T125,Formulas!U125+2),"")))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IFERROR(INDEX(Datos!$A$2:$K$102,Formulas!X124,RIGHT(Formulas!Z124)+2),"")))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IFERROR(INDEX(Datos!$A$2:$K$102,Formulas!Y125,Formulas!Z125+2),"")))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IFERROR(INDEX(Datos!$A$2:$K$102,Formulas!AC124,RIGHT(Formulas!AE124)+2),"")))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IFERROR(INDEX(Datos!$A$2:$K$102,Formulas!AD125,Formulas!AE125+2),"")))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IFERROR(INDEX(Datos!$A$2:$K$102,Formulas!AH124,RIGHT(Formulas!AJ124)+2),"")))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IFERROR(INDEX(Datos!$A$2:$K$102,Formulas!AI125,Formulas!AJ125+2),"")))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IFERROR(INDEX(Datos!$A$2:$K$102,Formulas!AM124,RIGHT(Formulas!AO124)+2),"")))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IFERROR(INDEX(Datos!$A$2:$K$102,Formulas!AN125,Formulas!AO125+2),"")))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IFERROR(INDEX(Datos!$A$2:$K$102,Formulas!AR124,RIGHT(Formulas!AT124)+2),"")))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IFERROR(INDEX(Datos!$A$2:$K$102,Formulas!AS125,Formulas!AT125+2),"")))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IFERROR(INDEX(Datos!$A$2:$K$102,Formulas!AW124,RIGHT(Formulas!AY124)+2),"")))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IFERROR(INDEX(Datos!$A$2:$K$102,Formulas!AX125,Formulas!AY125+2),"")))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IFERROR(INDEX(Datos!$A$2:$K$102,Formulas!D125,RIGHT(Formulas!F125)+2),"")))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IFERROR(INDEX(Datos!$A$2:$K$102,Formulas!E126,Formulas!F126+2),"")))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IFERROR(INDEX(Datos!$A$2:$K$102,Formulas!I125,RIGHT(Formulas!K125)+2),"")))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IFERROR(INDEX(Datos!$A$2:$K$102,Formulas!J126,Formulas!K126+2),"")))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IFERROR(INDEX(Datos!$A$2:$K$102,Formulas!N125,RIGHT(Formulas!P125)+2),"")))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IFERROR(INDEX(Datos!$A$2:$K$102,Formulas!O126,Formulas!P126+2),"")))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IFERROR(INDEX(Datos!$A$2:$K$102,Formulas!S125,RIGHT(Formulas!U125)+2),"")))</f>
        <v>1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IFERROR(INDEX(Datos!$A$2:$K$102,Formulas!T126,Formulas!U126+2),"")))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IFERROR(INDEX(Datos!$A$2:$K$102,Formulas!X125,RIGHT(Formulas!Z125)+2),"")))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IFERROR(INDEX(Datos!$A$2:$K$102,Formulas!Y126,Formulas!Z126+2),"")))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IFERROR(INDEX(Datos!$A$2:$K$102,Formulas!AC125,RIGHT(Formulas!AE125)+2),"")))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IFERROR(INDEX(Datos!$A$2:$K$102,Formulas!AD126,Formulas!AE126+2),"")))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IFERROR(INDEX(Datos!$A$2:$K$102,Formulas!AH125,RIGHT(Formulas!AJ125)+2),"")))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IFERROR(INDEX(Datos!$A$2:$K$102,Formulas!AI126,Formulas!AJ126+2),"")))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IFERROR(INDEX(Datos!$A$2:$K$102,Formulas!AM125,RIGHT(Formulas!AO125)+2),"")))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IFERROR(INDEX(Datos!$A$2:$K$102,Formulas!AN126,Formulas!AO126+2),"")))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IFERROR(INDEX(Datos!$A$2:$K$102,Formulas!AR125,RIGHT(Formulas!AT125)+2),"")))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IFERROR(INDEX(Datos!$A$2:$K$102,Formulas!AS126,Formulas!AT126+2),"")))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IFERROR(INDEX(Datos!$A$2:$K$102,Formulas!AW125,RIGHT(Formulas!AY125)+2),"")))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IFERROR(INDEX(Datos!$A$2:$K$102,Formulas!AX126,Formulas!AY126+2),"")))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IFERROR(INDEX(Datos!$A$2:$K$102,Formulas!D126,RIGHT(Formulas!F126)+2),"")))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IFERROR(INDEX(Datos!$A$2:$K$102,Formulas!E127,Formulas!F127+2),"")))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IFERROR(INDEX(Datos!$A$2:$K$102,Formulas!I126,RIGHT(Formulas!K126)+2),"")))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IFERROR(INDEX(Datos!$A$2:$K$102,Formulas!J127,Formulas!K127+2),"")))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IFERROR(INDEX(Datos!$A$2:$K$102,Formulas!N126,RIGHT(Formulas!P126)+2),"")))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IFERROR(INDEX(Datos!$A$2:$K$102,Formulas!O127,Formulas!P127+2),"")))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IFERROR(INDEX(Datos!$A$2:$K$102,Formulas!S126,RIGHT(Formulas!U126)+2),"")))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IFERROR(INDEX(Datos!$A$2:$K$102,Formulas!T127,Formulas!U127+2),"")))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IFERROR(INDEX(Datos!$A$2:$K$102,Formulas!X126,RIGHT(Formulas!Z126)+2),"")))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IFERROR(INDEX(Datos!$A$2:$K$102,Formulas!Y127,Formulas!Z127+2),"")))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IFERROR(INDEX(Datos!$A$2:$K$102,Formulas!AC126,RIGHT(Formulas!AE126)+2),"")))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IFERROR(INDEX(Datos!$A$2:$K$102,Formulas!AD127,Formulas!AE127+2),"")))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IFERROR(INDEX(Datos!$A$2:$K$102,Formulas!AH126,RIGHT(Formulas!AJ126)+2),"")))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IFERROR(INDEX(Datos!$A$2:$K$102,Formulas!AI127,Formulas!AJ127+2),"")))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IFERROR(INDEX(Datos!$A$2:$K$102,Formulas!AM126,RIGHT(Formulas!AO126)+2),"")))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IFERROR(INDEX(Datos!$A$2:$K$102,Formulas!AN127,Formulas!AO127+2),"")))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IFERROR(INDEX(Datos!$A$2:$K$102,Formulas!AR126,RIGHT(Formulas!AT126)+2),"")))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IFERROR(INDEX(Datos!$A$2:$K$102,Formulas!AS127,Formulas!AT127+2),"")))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IFERROR(INDEX(Datos!$A$2:$K$102,Formulas!AW126,RIGHT(Formulas!AY126)+2),"")))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IFERROR(INDEX(Datos!$A$2:$K$102,Formulas!AX127,Formulas!AY127+2),"")))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IFERROR(INDEX(Datos!$A$2:$K$102,Formulas!D127,RIGHT(Formulas!F127)+2),"")))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IFERROR(INDEX(Datos!$A$2:$K$102,Formulas!E128,Formulas!F128+2),"")))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IFERROR(INDEX(Datos!$A$2:$K$102,Formulas!I127,RIGHT(Formulas!K127)+2),"")))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IFERROR(INDEX(Datos!$A$2:$K$102,Formulas!J128,Formulas!K128+2),"")))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IFERROR(INDEX(Datos!$A$2:$K$102,Formulas!N127,RIGHT(Formulas!P127)+2),"")))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IFERROR(INDEX(Datos!$A$2:$K$102,Formulas!O128,Formulas!P128+2),"")))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IFERROR(INDEX(Datos!$A$2:$K$102,Formulas!S127,RIGHT(Formulas!U127)+2),"")))</f>
        <v>Paulina Quishpe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IFERROR(INDEX(Datos!$A$2:$K$102,Formulas!T128,Formulas!U128+2),"")))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IFERROR(INDEX(Datos!$A$2:$K$102,Formulas!X127,RIGHT(Formulas!Z127)+2),"")))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IFERROR(INDEX(Datos!$A$2:$K$102,Formulas!Y128,Formulas!Z128+2),"")))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IFERROR(INDEX(Datos!$A$2:$K$102,Formulas!AC127,RIGHT(Formulas!AE127)+2),"")))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IFERROR(INDEX(Datos!$A$2:$K$102,Formulas!AD128,Formulas!AE128+2),"")))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IFERROR(INDEX(Datos!$A$2:$K$102,Formulas!AH127,RIGHT(Formulas!AJ127)+2),"")))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IFERROR(INDEX(Datos!$A$2:$K$102,Formulas!AI128,Formulas!AJ128+2),"")))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IFERROR(INDEX(Datos!$A$2:$K$102,Formulas!AM127,RIGHT(Formulas!AO127)+2),"")))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IFERROR(INDEX(Datos!$A$2:$K$102,Formulas!AN128,Formulas!AO128+2),"")))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IFERROR(INDEX(Datos!$A$2:$K$102,Formulas!AR127,RIGHT(Formulas!AT127)+2),"")))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IFERROR(INDEX(Datos!$A$2:$K$102,Formulas!AS128,Formulas!AT128+2),"")))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IFERROR(INDEX(Datos!$A$2:$K$102,Formulas!AW127,RIGHT(Formulas!AY127)+2),"")))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IFERROR(INDEX(Datos!$A$2:$K$102,Formulas!AX128,Formulas!AY128+2),"")))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IFERROR(INDEX(Datos!$A$2:$K$102,Formulas!D128,RIGHT(Formulas!F128)+2),"")))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IFERROR(INDEX(Datos!$A$2:$K$102,Formulas!E129,Formulas!F129+2),"")))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IFERROR(INDEX(Datos!$A$2:$K$102,Formulas!I128,RIGHT(Formulas!K128)+2),"")))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IFERROR(INDEX(Datos!$A$2:$K$102,Formulas!J129,Formulas!K129+2),"")))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IFERROR(INDEX(Datos!$A$2:$K$102,Formulas!N128,RIGHT(Formulas!P128)+2),"")))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IFERROR(INDEX(Datos!$A$2:$K$102,Formulas!O129,Formulas!P129+2),"")))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IFERROR(INDEX(Datos!$A$2:$K$102,Formulas!S128,RIGHT(Formulas!U128)+2),"")))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IFERROR(INDEX(Datos!$A$2:$K$102,Formulas!T129,Formulas!U129+2),"")))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IFERROR(INDEX(Datos!$A$2:$K$102,Formulas!X128,RIGHT(Formulas!Z128)+2),"")))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IFERROR(INDEX(Datos!$A$2:$K$102,Formulas!Y129,Formulas!Z129+2),"")))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IFERROR(INDEX(Datos!$A$2:$K$102,Formulas!AC128,RIGHT(Formulas!AE128)+2),"")))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IFERROR(INDEX(Datos!$A$2:$K$102,Formulas!AD129,Formulas!AE129+2),"")))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IFERROR(INDEX(Datos!$A$2:$K$102,Formulas!AH128,RIGHT(Formulas!AJ128)+2),"")))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IFERROR(INDEX(Datos!$A$2:$K$102,Formulas!AI129,Formulas!AJ129+2),"")))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IFERROR(INDEX(Datos!$A$2:$K$102,Formulas!AM128,RIGHT(Formulas!AO128)+2),"")))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IFERROR(INDEX(Datos!$A$2:$K$102,Formulas!AN129,Formulas!AO129+2),"")))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IFERROR(INDEX(Datos!$A$2:$K$102,Formulas!AR128,RIGHT(Formulas!AT128)+2),"")))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IFERROR(INDEX(Datos!$A$2:$K$102,Formulas!AS129,Formulas!AT129+2),"")))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IFERROR(INDEX(Datos!$A$2:$K$102,Formulas!AW128,RIGHT(Formulas!AY128)+2),"")))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IFERROR(INDEX(Datos!$A$2:$K$102,Formulas!AX129,Formulas!AY129+2),"")))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IFERROR(INDEX(Datos!$A$2:$K$102,Formulas!D129,RIGHT(Formulas!F129)+2),"")))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IFERROR(INDEX(Datos!$A$2:$K$102,Formulas!E130,Formulas!F130+2),"")))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IFERROR(INDEX(Datos!$A$2:$K$102,Formulas!I129,RIGHT(Formulas!K129)+2),"")))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IFERROR(INDEX(Datos!$A$2:$K$102,Formulas!J130,Formulas!K130+2),"")))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IFERROR(INDEX(Datos!$A$2:$K$102,Formulas!N129,RIGHT(Formulas!P129)+2),"")))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IFERROR(INDEX(Datos!$A$2:$K$102,Formulas!O130,Formulas!P130+2),"")))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44: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IFERROR(INDEX(Datos!$A$2:$K$102,Formulas!S129,RIGHT(Formulas!U129)+2),"")))</f>
        <v>REQ005-4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IFERROR(INDEX(Datos!$A$2:$K$102,Formulas!T130,Formulas!U130+2),"")))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IFERROR(INDEX(Datos!$A$2:$K$102,Formulas!X129,RIGHT(Formulas!Z129)+2),"")))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IFERROR(INDEX(Datos!$A$2:$K$102,Formulas!Y130,Formulas!Z130+2),"")))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IFERROR(INDEX(Datos!$A$2:$K$102,Formulas!AC129,RIGHT(Formulas!AE129)+2),"")))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IFERROR(INDEX(Datos!$A$2:$K$102,Formulas!AD130,Formulas!AE130+2),"")))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IFERROR(INDEX(Datos!$A$2:$K$102,Formulas!AH129,RIGHT(Formulas!AJ129)+2),"")))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IFERROR(INDEX(Datos!$A$2:$K$102,Formulas!AI130,Formulas!AJ130+2),"")))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IFERROR(INDEX(Datos!$A$2:$K$102,Formulas!AM129,RIGHT(Formulas!AO129)+2),"")))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IFERROR(INDEX(Datos!$A$2:$K$102,Formulas!AN130,Formulas!AO130+2),"")))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IFERROR(INDEX(Datos!$A$2:$K$102,Formulas!AR129,RIGHT(Formulas!AT129)+2),"")))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IFERROR(INDEX(Datos!$A$2:$K$102,Formulas!AS130,Formulas!AT130+2),"")))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IFERROR(INDEX(Datos!$A$2:$K$102,Formulas!AW129,RIGHT(Formulas!AY129)+2),"")))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IFERROR(INDEX(Datos!$A$2:$K$102,Formulas!AX130,Formulas!AY130+2),"")))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IFERROR(INDEX(Datos!$A$2:$K$102,Formulas!D130,RIGHT(Formulas!F130)+2),"")))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IFERROR(INDEX(Datos!$A$2:$K$102,Formulas!E131,Formulas!F131+2),"")))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IFERROR(INDEX(Datos!$A$2:$K$102,Formulas!I130,RIGHT(Formulas!K130)+2),"")))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IFERROR(INDEX(Datos!$A$2:$K$102,Formulas!J131,Formulas!K131+2),"")))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IFERROR(INDEX(Datos!$A$2:$K$102,Formulas!N130,RIGHT(Formulas!P130)+2),"")))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IFERROR(INDEX(Datos!$A$2:$K$102,Formulas!O131,Formulas!P131+2),"")))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IFERROR(INDEX(Datos!$A$2:$K$102,Formulas!S130,RIGHT(Formulas!U130)+2),"")))</f>
        <v>Desarrollar historial de versiones visible con opción de ver versiones anteriores del contrato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IFERROR(INDEX(Datos!$A$2:$K$102,Formulas!T131,Formulas!U131+2),"")))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IFERROR(INDEX(Datos!$A$2:$K$102,Formulas!X130,RIGHT(Formulas!Z130)+2),"")))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IFERROR(INDEX(Datos!$A$2:$K$102,Formulas!Y131,Formulas!Z131+2),"")))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IFERROR(INDEX(Datos!$A$2:$K$102,Formulas!AC130,RIGHT(Formulas!AE130)+2),"")))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IFERROR(INDEX(Datos!$A$2:$K$102,Formulas!AD131,Formulas!AE131+2),"")))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IFERROR(INDEX(Datos!$A$2:$K$102,Formulas!AH130,RIGHT(Formulas!AJ130)+2),"")))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IFERROR(INDEX(Datos!$A$2:$K$102,Formulas!AI131,Formulas!AJ131+2),"")))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IFERROR(INDEX(Datos!$A$2:$K$102,Formulas!AM130,RIGHT(Formulas!AO130)+2),"")))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IFERROR(INDEX(Datos!$A$2:$K$102,Formulas!AN131,Formulas!AO131+2),"")))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IFERROR(INDEX(Datos!$A$2:$K$102,Formulas!AR130,RIGHT(Formulas!AT130)+2),"")))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IFERROR(INDEX(Datos!$A$2:$K$102,Formulas!AS131,Formulas!AT131+2),"")))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IFERROR(INDEX(Datos!$A$2:$K$102,Formulas!AW130,RIGHT(Formulas!AY130)+2),"")))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IFERROR(INDEX(Datos!$A$2:$K$102,Formulas!AX131,Formulas!AY131+2),"")))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IFERROR(INDEX(Datos!$A$2:$K$102,Formulas!D131,RIGHT(Formulas!F131)+2),"")))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IFERROR(INDEX(Datos!$A$2:$K$102,Formulas!E132,Formulas!F132+2),"")))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IFERROR(INDEX(Datos!$A$2:$K$102,Formulas!I131,RIGHT(Formulas!K131)+2),"")))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IFERROR(INDEX(Datos!$A$2:$K$102,Formulas!J132,Formulas!K132+2),"")))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IFERROR(INDEX(Datos!$A$2:$K$102,Formulas!N131,RIGHT(Formulas!P131)+2),"")))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IFERROR(INDEX(Datos!$A$2:$K$102,Formulas!O132,Formulas!P132+2),"")))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IFERROR(INDEX(Datos!$A$2:$K$102,Formulas!S131,RIGHT(Formulas!U131)+2),"")))</f>
        <v>45861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IFERROR(INDEX(Datos!$A$2:$K$102,Formulas!T132,Formulas!U132+2),"")))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IFERROR(INDEX(Datos!$A$2:$K$102,Formulas!X131,RIGHT(Formulas!Z131)+2),"")))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IFERROR(INDEX(Datos!$A$2:$K$102,Formulas!Y132,Formulas!Z132+2),"")))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IFERROR(INDEX(Datos!$A$2:$K$102,Formulas!AC131,RIGHT(Formulas!AE131)+2),"")))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IFERROR(INDEX(Datos!$A$2:$K$102,Formulas!AD132,Formulas!AE132+2),"")))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IFERROR(INDEX(Datos!$A$2:$K$102,Formulas!AH131,RIGHT(Formulas!AJ131)+2),"")))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IFERROR(INDEX(Datos!$A$2:$K$102,Formulas!AI132,Formulas!AJ132+2),"")))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IFERROR(INDEX(Datos!$A$2:$K$102,Formulas!AM131,RIGHT(Formulas!AO131)+2),"")))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IFERROR(INDEX(Datos!$A$2:$K$102,Formulas!AN132,Formulas!AO132+2),"")))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IFERROR(INDEX(Datos!$A$2:$K$102,Formulas!AR131,RIGHT(Formulas!AT131)+2),"")))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IFERROR(INDEX(Datos!$A$2:$K$102,Formulas!AS132,Formulas!AT132+2),"")))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IFERROR(INDEX(Datos!$A$2:$K$102,Formulas!AW131,RIGHT(Formulas!AY131)+2),"")))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IFERROR(INDEX(Datos!$A$2:$K$102,Formulas!AX132,Formulas!AY132+2),"")))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IFERROR(INDEX(Datos!$A$2:$K$102,Formulas!D132,RIGHT(Formulas!F132)+2),"")))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IFERROR(INDEX(Datos!$A$2:$K$102,Formulas!E133,Formulas!F133+2),"")))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IFERROR(INDEX(Datos!$A$2:$K$102,Formulas!I132,RIGHT(Formulas!K132)+2),"")))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IFERROR(INDEX(Datos!$A$2:$K$102,Formulas!J133,Formulas!K133+2),"")))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IFERROR(INDEX(Datos!$A$2:$K$102,Formulas!N132,RIGHT(Formulas!P132)+2),"")))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IFERROR(INDEX(Datos!$A$2:$K$102,Formulas!O133,Formulas!P133+2),"")))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IFERROR(INDEX(Datos!$A$2:$K$102,Formulas!S132,RIGHT(Formulas!U132)+2),"")))</f>
        <v>45863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IFERROR(INDEX(Datos!$A$2:$K$102,Formulas!T133,Formulas!U133+2),"")))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IFERROR(INDEX(Datos!$A$2:$K$102,Formulas!X132,RIGHT(Formulas!Z132)+2),"")))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IFERROR(INDEX(Datos!$A$2:$K$102,Formulas!Y133,Formulas!Z133+2),"")))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IFERROR(INDEX(Datos!$A$2:$K$102,Formulas!AC132,RIGHT(Formulas!AE132)+2),"")))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IFERROR(INDEX(Datos!$A$2:$K$102,Formulas!AD133,Formulas!AE133+2),"")))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IFERROR(INDEX(Datos!$A$2:$K$102,Formulas!AH132,RIGHT(Formulas!AJ132)+2),"")))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IFERROR(INDEX(Datos!$A$2:$K$102,Formulas!AI133,Formulas!AJ133+2),"")))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IFERROR(INDEX(Datos!$A$2:$K$102,Formulas!AM132,RIGHT(Formulas!AO132)+2),"")))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IFERROR(INDEX(Datos!$A$2:$K$102,Formulas!AN133,Formulas!AO133+2),"")))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IFERROR(INDEX(Datos!$A$2:$K$102,Formulas!AR132,RIGHT(Formulas!AT132)+2),"")))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IFERROR(INDEX(Datos!$A$2:$K$102,Formulas!AS133,Formulas!AT133+2),"")))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IFERROR(INDEX(Datos!$A$2:$K$102,Formulas!AW132,RIGHT(Formulas!AY132)+2),"")))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IFERROR(INDEX(Datos!$A$2:$K$102,Formulas!AX133,Formulas!AY133+2),"")))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IFERROR(INDEX(Datos!$A$2:$K$102,Formulas!D133,RIGHT(Formulas!F133)+2),"")))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IFERROR(INDEX(Datos!$A$2:$K$102,Formulas!E134,Formulas!F134+2),"")))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IFERROR(INDEX(Datos!$A$2:$K$102,Formulas!I133,RIGHT(Formulas!K133)+2),"")))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IFERROR(INDEX(Datos!$A$2:$K$102,Formulas!J134,Formulas!K134+2),"")))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IFERROR(INDEX(Datos!$A$2:$K$102,Formulas!N133,RIGHT(Formulas!P133)+2),"")))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IFERROR(INDEX(Datos!$A$2:$K$102,Formulas!O134,Formulas!P134+2),"")))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IFERROR(INDEX(Datos!$A$2:$K$102,Formulas!S133,RIGHT(Formulas!U133)+2),"")))</f>
        <v>45863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IFERROR(INDEX(Datos!$A$2:$K$102,Formulas!T134,Formulas!U134+2),"")))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IFERROR(INDEX(Datos!$A$2:$K$102,Formulas!X133,RIGHT(Formulas!Z133)+2),"")))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IFERROR(INDEX(Datos!$A$2:$K$102,Formulas!Y134,Formulas!Z134+2),"")))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IFERROR(INDEX(Datos!$A$2:$K$102,Formulas!AC133,RIGHT(Formulas!AE133)+2),"")))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IFERROR(INDEX(Datos!$A$2:$K$102,Formulas!AD134,Formulas!AE134+2),"")))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IFERROR(INDEX(Datos!$A$2:$K$102,Formulas!AH133,RIGHT(Formulas!AJ133)+2),"")))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IFERROR(INDEX(Datos!$A$2:$K$102,Formulas!AI134,Formulas!AJ134+2),"")))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IFERROR(INDEX(Datos!$A$2:$K$102,Formulas!AM133,RIGHT(Formulas!AO133)+2),"")))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IFERROR(INDEX(Datos!$A$2:$K$102,Formulas!AN134,Formulas!AO134+2),"")))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IFERROR(INDEX(Datos!$A$2:$K$102,Formulas!AR133,RIGHT(Formulas!AT133)+2),"")))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IFERROR(INDEX(Datos!$A$2:$K$102,Formulas!AS134,Formulas!AT134+2),"")))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IFERROR(INDEX(Datos!$A$2:$K$102,Formulas!AW133,RIGHT(Formulas!AY133)+2),"")))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IFERROR(INDEX(Datos!$A$2:$K$102,Formulas!AX134,Formulas!AY134+2),"")))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IFERROR(INDEX(Datos!$A$2:$K$102,Formulas!D134,RIGHT(Formulas!F134)+2),"")))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IFERROR(INDEX(Datos!$A$2:$K$102,Formulas!E135,Formulas!F135+2),"")))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IFERROR(INDEX(Datos!$A$2:$K$102,Formulas!I134,RIGHT(Formulas!K134)+2),"")))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IFERROR(INDEX(Datos!$A$2:$K$102,Formulas!J135,Formulas!K135+2),"")))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IFERROR(INDEX(Datos!$A$2:$K$102,Formulas!N134,RIGHT(Formulas!P134)+2),"")))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IFERROR(INDEX(Datos!$A$2:$K$102,Formulas!O135,Formulas!P135+2),"")))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IFERROR(INDEX(Datos!$A$2:$K$102,Formulas!S134,RIGHT(Formulas!U134)+2),"")))</f>
        <v>3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IFERROR(INDEX(Datos!$A$2:$K$102,Formulas!T135,Formulas!U135+2),"")))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IFERROR(INDEX(Datos!$A$2:$K$102,Formulas!X134,RIGHT(Formulas!Z134)+2),"")))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IFERROR(INDEX(Datos!$A$2:$K$102,Formulas!Y135,Formulas!Z135+2),"")))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IFERROR(INDEX(Datos!$A$2:$K$102,Formulas!AC134,RIGHT(Formulas!AE134)+2),"")))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IFERROR(INDEX(Datos!$A$2:$K$102,Formulas!AD135,Formulas!AE135+2),"")))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IFERROR(INDEX(Datos!$A$2:$K$102,Formulas!AH134,RIGHT(Formulas!AJ134)+2),"")))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IFERROR(INDEX(Datos!$A$2:$K$102,Formulas!AI135,Formulas!AJ135+2),"")))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IFERROR(INDEX(Datos!$A$2:$K$102,Formulas!AM134,RIGHT(Formulas!AO134)+2),"")))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IFERROR(INDEX(Datos!$A$2:$K$102,Formulas!AN135,Formulas!AO135+2),"")))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IFERROR(INDEX(Datos!$A$2:$K$102,Formulas!AR134,RIGHT(Formulas!AT134)+2),"")))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IFERROR(INDEX(Datos!$A$2:$K$102,Formulas!AS135,Formulas!AT135+2),"")))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IFERROR(INDEX(Datos!$A$2:$K$102,Formulas!AW134,RIGHT(Formulas!AY134)+2),"")))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IFERROR(INDEX(Datos!$A$2:$K$102,Formulas!AX135,Formulas!AY135+2),"")))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IFERROR(INDEX(Datos!$A$2:$K$102,Formulas!D135,RIGHT(Formulas!F135)+2),"")))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IFERROR(INDEX(Datos!$A$2:$K$102,Formulas!E136,Formulas!F136+2),"")))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IFERROR(INDEX(Datos!$A$2:$K$102,Formulas!I135,RIGHT(Formulas!K135)+2),"")))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IFERROR(INDEX(Datos!$A$2:$K$102,Formulas!J136,Formulas!K136+2),"")))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IFERROR(INDEX(Datos!$A$2:$K$102,Formulas!N135,RIGHT(Formulas!P135)+2),"")))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IFERROR(INDEX(Datos!$A$2:$K$102,Formulas!O136,Formulas!P136+2),"")))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IFERROR(INDEX(Datos!$A$2:$K$102,Formulas!S135,RIGHT(Formulas!U135)+2),"")))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IFERROR(INDEX(Datos!$A$2:$K$102,Formulas!T136,Formulas!U136+2),"")))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IFERROR(INDEX(Datos!$A$2:$K$102,Formulas!X135,RIGHT(Formulas!Z135)+2),"")))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IFERROR(INDEX(Datos!$A$2:$K$102,Formulas!Y136,Formulas!Z136+2),"")))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IFERROR(INDEX(Datos!$A$2:$K$102,Formulas!AC135,RIGHT(Formulas!AE135)+2),"")))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IFERROR(INDEX(Datos!$A$2:$K$102,Formulas!AD136,Formulas!AE136+2),"")))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IFERROR(INDEX(Datos!$A$2:$K$102,Formulas!AH135,RIGHT(Formulas!AJ135)+2),"")))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IFERROR(INDEX(Datos!$A$2:$K$102,Formulas!AI136,Formulas!AJ136+2),"")))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IFERROR(INDEX(Datos!$A$2:$K$102,Formulas!AM135,RIGHT(Formulas!AO135)+2),"")))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IFERROR(INDEX(Datos!$A$2:$K$102,Formulas!AN136,Formulas!AO136+2),"")))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IFERROR(INDEX(Datos!$A$2:$K$102,Formulas!AR135,RIGHT(Formulas!AT135)+2),"")))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IFERROR(INDEX(Datos!$A$2:$K$102,Formulas!AS136,Formulas!AT136+2),"")))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IFERROR(INDEX(Datos!$A$2:$K$102,Formulas!AW135,RIGHT(Formulas!AY135)+2),"")))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IFERROR(INDEX(Datos!$A$2:$K$102,Formulas!AX136,Formulas!AY136+2),"")))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IFERROR(INDEX(Datos!$A$2:$K$102,Formulas!D136,RIGHT(Formulas!F136)+2),"")))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IFERROR(INDEX(Datos!$A$2:$K$102,Formulas!E137,Formulas!F137+2),"")))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IFERROR(INDEX(Datos!$A$2:$K$102,Formulas!I136,RIGHT(Formulas!K136)+2),"")))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IFERROR(INDEX(Datos!$A$2:$K$102,Formulas!J137,Formulas!K137+2),"")))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IFERROR(INDEX(Datos!$A$2:$K$102,Formulas!N136,RIGHT(Formulas!P136)+2),"")))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IFERROR(INDEX(Datos!$A$2:$K$102,Formulas!O137,Formulas!P137+2),"")))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IFERROR(INDEX(Datos!$A$2:$K$102,Formulas!S136,RIGHT(Formulas!U136)+2),"")))</f>
        <v>Paulina Quishpe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IFERROR(INDEX(Datos!$A$2:$K$102,Formulas!T137,Formulas!U137+2),"")))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IFERROR(INDEX(Datos!$A$2:$K$102,Formulas!X136,RIGHT(Formulas!Z136)+2),"")))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IFERROR(INDEX(Datos!$A$2:$K$102,Formulas!Y137,Formulas!Z137+2),"")))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IFERROR(INDEX(Datos!$A$2:$K$102,Formulas!AC136,RIGHT(Formulas!AE136)+2),"")))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IFERROR(INDEX(Datos!$A$2:$K$102,Formulas!AD137,Formulas!AE137+2),"")))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IFERROR(INDEX(Datos!$A$2:$K$102,Formulas!AH136,RIGHT(Formulas!AJ136)+2),"")))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IFERROR(INDEX(Datos!$A$2:$K$102,Formulas!AI137,Formulas!AJ137+2),"")))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IFERROR(INDEX(Datos!$A$2:$K$102,Formulas!AM136,RIGHT(Formulas!AO136)+2),"")))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IFERROR(INDEX(Datos!$A$2:$K$102,Formulas!AN137,Formulas!AO137+2),"")))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IFERROR(INDEX(Datos!$A$2:$K$102,Formulas!AR136,RIGHT(Formulas!AT136)+2),"")))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IFERROR(INDEX(Datos!$A$2:$K$102,Formulas!AS137,Formulas!AT137+2),"")))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IFERROR(INDEX(Datos!$A$2:$K$102,Formulas!AW136,RIGHT(Formulas!AY136)+2),"")))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IFERROR(INDEX(Datos!$A$2:$K$102,Formulas!AX137,Formulas!AY137+2),"")))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IFERROR(INDEX(Datos!$A$2:$K$102,Formulas!D137,RIGHT(Formulas!F137)+2),"")))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IFERROR(INDEX(Datos!$A$2:$K$102,Formulas!E138,Formulas!F138+2),"")))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IFERROR(INDEX(Datos!$A$2:$K$102,Formulas!I137,RIGHT(Formulas!K137)+2),"")))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IFERROR(INDEX(Datos!$A$2:$K$102,Formulas!J138,Formulas!K138+2),"")))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IFERROR(INDEX(Datos!$A$2:$K$102,Formulas!N137,RIGHT(Formulas!P137)+2),"")))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IFERROR(INDEX(Datos!$A$2:$K$102,Formulas!O138,Formulas!P138+2),"")))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IFERROR(INDEX(Datos!$A$2:$K$102,Formulas!S137,RIGHT(Formulas!U137)+2),"")))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IFERROR(INDEX(Datos!$A$2:$K$102,Formulas!T138,Formulas!U138+2),"")))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IFERROR(INDEX(Datos!$A$2:$K$102,Formulas!X137,RIGHT(Formulas!Z137)+2),"")))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IFERROR(INDEX(Datos!$A$2:$K$102,Formulas!Y138,Formulas!Z138+2),"")))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IFERROR(INDEX(Datos!$A$2:$K$102,Formulas!AC137,RIGHT(Formulas!AE137)+2),"")))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IFERROR(INDEX(Datos!$A$2:$K$102,Formulas!AD138,Formulas!AE138+2),"")))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IFERROR(INDEX(Datos!$A$2:$K$102,Formulas!AH137,RIGHT(Formulas!AJ137)+2),"")))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IFERROR(INDEX(Datos!$A$2:$K$102,Formulas!AI138,Formulas!AJ138+2),"")))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IFERROR(INDEX(Datos!$A$2:$K$102,Formulas!AM137,RIGHT(Formulas!AO137)+2),"")))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IFERROR(INDEX(Datos!$A$2:$K$102,Formulas!AN138,Formulas!AO138+2),"")))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IFERROR(INDEX(Datos!$A$2:$K$102,Formulas!AR137,RIGHT(Formulas!AT137)+2),"")))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IFERROR(INDEX(Datos!$A$2:$K$102,Formulas!AS138,Formulas!AT138+2),"")))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IFERROR(INDEX(Datos!$A$2:$K$102,Formulas!AW137,RIGHT(Formulas!AY137)+2),"")))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IFERROR(INDEX(Datos!$A$2:$K$102,Formulas!AX138,Formulas!AY138+2),"")))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IFERROR(INDEX(Datos!$A$2:$K$102,Formulas!D138,RIGHT(Formulas!F138)+2),"")))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IFERROR(INDEX(Datos!$A$2:$K$102,Formulas!E139,Formulas!F139+2),"")))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IFERROR(INDEX(Datos!$A$2:$K$102,Formulas!I138,RIGHT(Formulas!K138)+2),"")))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IFERROR(INDEX(Datos!$A$2:$K$102,Formulas!J139,Formulas!K139+2),"")))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IFERROR(INDEX(Datos!$A$2:$K$102,Formulas!N138,RIGHT(Formulas!P138)+2),"")))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IFERROR(INDEX(Datos!$A$2:$K$102,Formulas!O139,Formulas!P139+2),"")))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43: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IFERROR(INDEX(Datos!$A$2:$K$102,Formulas!S138,RIGHT(Formulas!U138)+2),"")))</f>
        <v xml:space="preserve">REQ005-3 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IFERROR(INDEX(Datos!$A$2:$K$102,Formulas!T139,Formulas!U139+2),"")))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IFERROR(INDEX(Datos!$A$2:$K$102,Formulas!X138,RIGHT(Formulas!Z138)+2),"")))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IFERROR(INDEX(Datos!$A$2:$K$102,Formulas!Y139,Formulas!Z139+2),"")))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IFERROR(INDEX(Datos!$A$2:$K$102,Formulas!AC138,RIGHT(Formulas!AE138)+2),"")))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IFERROR(INDEX(Datos!$A$2:$K$102,Formulas!AD139,Formulas!AE139+2),"")))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IFERROR(INDEX(Datos!$A$2:$K$102,Formulas!AH138,RIGHT(Formulas!AJ138)+2),"")))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IFERROR(INDEX(Datos!$A$2:$K$102,Formulas!AI139,Formulas!AJ139+2),"")))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IFERROR(INDEX(Datos!$A$2:$K$102,Formulas!AM138,RIGHT(Formulas!AO138)+2),"")))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IFERROR(INDEX(Datos!$A$2:$K$102,Formulas!AN139,Formulas!AO139+2),"")))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IFERROR(INDEX(Datos!$A$2:$K$102,Formulas!AR138,RIGHT(Formulas!AT138)+2),"")))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IFERROR(INDEX(Datos!$A$2:$K$102,Formulas!AS139,Formulas!AT139+2),"")))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IFERROR(INDEX(Datos!$A$2:$K$102,Formulas!AW138,RIGHT(Formulas!AY138)+2),"")))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IFERROR(INDEX(Datos!$A$2:$K$102,Formulas!AX139,Formulas!AY139+2),"")))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IFERROR(INDEX(Datos!$A$2:$K$102,Formulas!D139,RIGHT(Formulas!F139)+2),"")))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IFERROR(INDEX(Datos!$A$2:$K$102,Formulas!E140,Formulas!F140+2),"")))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IFERROR(INDEX(Datos!$A$2:$K$102,Formulas!I139,RIGHT(Formulas!K139)+2),"")))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IFERROR(INDEX(Datos!$A$2:$K$102,Formulas!J140,Formulas!K140+2),"")))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IFERROR(INDEX(Datos!$A$2:$K$102,Formulas!N139,RIGHT(Formulas!P139)+2),"")))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IFERROR(INDEX(Datos!$A$2:$K$102,Formulas!O140,Formulas!P140+2),"")))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IFERROR(INDEX(Datos!$A$2:$K$102,Formulas!S139,RIGHT(Formulas!U139)+2),"")))</f>
        <v>Implementar gestión de permisos: solo la administradora pueden autorizar acceso de edición.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IFERROR(INDEX(Datos!$A$2:$K$102,Formulas!T140,Formulas!U140+2),"")))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IFERROR(INDEX(Datos!$A$2:$K$102,Formulas!X139,RIGHT(Formulas!Z139)+2),"")))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IFERROR(INDEX(Datos!$A$2:$K$102,Formulas!Y140,Formulas!Z140+2),"")))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IFERROR(INDEX(Datos!$A$2:$K$102,Formulas!AC139,RIGHT(Formulas!AE139)+2),"")))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IFERROR(INDEX(Datos!$A$2:$K$102,Formulas!AD140,Formulas!AE140+2),"")))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IFERROR(INDEX(Datos!$A$2:$K$102,Formulas!AH139,RIGHT(Formulas!AJ139)+2),"")))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IFERROR(INDEX(Datos!$A$2:$K$102,Formulas!AI140,Formulas!AJ140+2),"")))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IFERROR(INDEX(Datos!$A$2:$K$102,Formulas!AM139,RIGHT(Formulas!AO139)+2),"")))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IFERROR(INDEX(Datos!$A$2:$K$102,Formulas!AN140,Formulas!AO140+2),"")))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IFERROR(INDEX(Datos!$A$2:$K$102,Formulas!AR139,RIGHT(Formulas!AT139)+2),"")))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IFERROR(INDEX(Datos!$A$2:$K$102,Formulas!AS140,Formulas!AT140+2),"")))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IFERROR(INDEX(Datos!$A$2:$K$102,Formulas!AW139,RIGHT(Formulas!AY139)+2),"")))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IFERROR(INDEX(Datos!$A$2:$K$102,Formulas!AX140,Formulas!AY140+2),"")))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IFERROR(INDEX(Datos!$A$2:$K$102,Formulas!D140,RIGHT(Formulas!F140)+2),"")))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IFERROR(INDEX(Datos!$A$2:$K$102,Formulas!E141,Formulas!F141+2),"")))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IFERROR(INDEX(Datos!$A$2:$K$102,Formulas!I140,RIGHT(Formulas!K140)+2),"")))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IFERROR(INDEX(Datos!$A$2:$K$102,Formulas!J141,Formulas!K141+2),"")))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IFERROR(INDEX(Datos!$A$2:$K$102,Formulas!N140,RIGHT(Formulas!P140)+2),"")))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IFERROR(INDEX(Datos!$A$2:$K$102,Formulas!O141,Formulas!P141+2),"")))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IFERROR(INDEX(Datos!$A$2:$K$102,Formulas!S140,RIGHT(Formulas!U140)+2),"")))</f>
        <v>45858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IFERROR(INDEX(Datos!$A$2:$K$102,Formulas!T141,Formulas!U141+2),"")))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IFERROR(INDEX(Datos!$A$2:$K$102,Formulas!X140,RIGHT(Formulas!Z140)+2),"")))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IFERROR(INDEX(Datos!$A$2:$K$102,Formulas!Y141,Formulas!Z141+2),"")))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IFERROR(INDEX(Datos!$A$2:$K$102,Formulas!AC140,RIGHT(Formulas!AE140)+2),"")))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IFERROR(INDEX(Datos!$A$2:$K$102,Formulas!AD141,Formulas!AE141+2),"")))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IFERROR(INDEX(Datos!$A$2:$K$102,Formulas!AH140,RIGHT(Formulas!AJ140)+2),"")))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IFERROR(INDEX(Datos!$A$2:$K$102,Formulas!AI141,Formulas!AJ141+2),"")))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IFERROR(INDEX(Datos!$A$2:$K$102,Formulas!AM140,RIGHT(Formulas!AO140)+2),"")))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IFERROR(INDEX(Datos!$A$2:$K$102,Formulas!AN141,Formulas!AO141+2),"")))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IFERROR(INDEX(Datos!$A$2:$K$102,Formulas!AR140,RIGHT(Formulas!AT140)+2),"")))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IFERROR(INDEX(Datos!$A$2:$K$102,Formulas!AS141,Formulas!AT141+2),"")))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IFERROR(INDEX(Datos!$A$2:$K$102,Formulas!AW140,RIGHT(Formulas!AY140)+2),"")))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IFERROR(INDEX(Datos!$A$2:$K$102,Formulas!AX141,Formulas!AY141+2),"")))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IFERROR(INDEX(Datos!$A$2:$K$102,Formulas!D141,RIGHT(Formulas!F141)+2),"")))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IFERROR(INDEX(Datos!$A$2:$K$102,Formulas!E142,Formulas!F142+2),"")))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IFERROR(INDEX(Datos!$A$2:$K$102,Formulas!I141,RIGHT(Formulas!K141)+2),"")))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IFERROR(INDEX(Datos!$A$2:$K$102,Formulas!J142,Formulas!K142+2),"")))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IFERROR(INDEX(Datos!$A$2:$K$102,Formulas!N141,RIGHT(Formulas!P141)+2),"")))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IFERROR(INDEX(Datos!$A$2:$K$102,Formulas!O142,Formulas!P142+2),"")))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IFERROR(INDEX(Datos!$A$2:$K$102,Formulas!S141,RIGHT(Formulas!U141)+2),"")))</f>
        <v>45860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IFERROR(INDEX(Datos!$A$2:$K$102,Formulas!T142,Formulas!U142+2),"")))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IFERROR(INDEX(Datos!$A$2:$K$102,Formulas!X141,RIGHT(Formulas!Z141)+2),"")))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IFERROR(INDEX(Datos!$A$2:$K$102,Formulas!Y142,Formulas!Z142+2),"")))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IFERROR(INDEX(Datos!$A$2:$K$102,Formulas!AC141,RIGHT(Formulas!AE141)+2),"")))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IFERROR(INDEX(Datos!$A$2:$K$102,Formulas!AD142,Formulas!AE142+2),"")))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IFERROR(INDEX(Datos!$A$2:$K$102,Formulas!AH141,RIGHT(Formulas!AJ141)+2),"")))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IFERROR(INDEX(Datos!$A$2:$K$102,Formulas!AI142,Formulas!AJ142+2),"")))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IFERROR(INDEX(Datos!$A$2:$K$102,Formulas!AM141,RIGHT(Formulas!AO141)+2),"")))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IFERROR(INDEX(Datos!$A$2:$K$102,Formulas!AN142,Formulas!AO142+2),"")))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IFERROR(INDEX(Datos!$A$2:$K$102,Formulas!AR141,RIGHT(Formulas!AT141)+2),"")))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IFERROR(INDEX(Datos!$A$2:$K$102,Formulas!AS142,Formulas!AT142+2),"")))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IFERROR(INDEX(Datos!$A$2:$K$102,Formulas!AW141,RIGHT(Formulas!AY141)+2),"")))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IFERROR(INDEX(Datos!$A$2:$K$102,Formulas!AX142,Formulas!AY142+2),"")))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IFERROR(INDEX(Datos!$A$2:$K$102,Formulas!D142,RIGHT(Formulas!F142)+2),"")))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IFERROR(INDEX(Datos!$A$2:$K$102,Formulas!E143,Formulas!F143+2),"")))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IFERROR(INDEX(Datos!$A$2:$K$102,Formulas!I142,RIGHT(Formulas!K142)+2),"")))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IFERROR(INDEX(Datos!$A$2:$K$102,Formulas!J143,Formulas!K143+2),"")))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IFERROR(INDEX(Datos!$A$2:$K$102,Formulas!N142,RIGHT(Formulas!P142)+2),"")))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IFERROR(INDEX(Datos!$A$2:$K$102,Formulas!O143,Formulas!P143+2),"")))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IFERROR(INDEX(Datos!$A$2:$K$102,Formulas!S142,RIGHT(Formulas!U142)+2),"")))</f>
        <v>45860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IFERROR(INDEX(Datos!$A$2:$K$102,Formulas!T143,Formulas!U143+2),"")))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IFERROR(INDEX(Datos!$A$2:$K$102,Formulas!X142,RIGHT(Formulas!Z142)+2),"")))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IFERROR(INDEX(Datos!$A$2:$K$102,Formulas!Y143,Formulas!Z143+2),"")))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IFERROR(INDEX(Datos!$A$2:$K$102,Formulas!AC142,RIGHT(Formulas!AE142)+2),"")))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IFERROR(INDEX(Datos!$A$2:$K$102,Formulas!AD143,Formulas!AE143+2),"")))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IFERROR(INDEX(Datos!$A$2:$K$102,Formulas!AH142,RIGHT(Formulas!AJ142)+2),"")))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IFERROR(INDEX(Datos!$A$2:$K$102,Formulas!AI143,Formulas!AJ143+2),"")))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IFERROR(INDEX(Datos!$A$2:$K$102,Formulas!AM142,RIGHT(Formulas!AO142)+2),"")))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IFERROR(INDEX(Datos!$A$2:$K$102,Formulas!AN143,Formulas!AO143+2),"")))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IFERROR(INDEX(Datos!$A$2:$K$102,Formulas!AR142,RIGHT(Formulas!AT142)+2),"")))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IFERROR(INDEX(Datos!$A$2:$K$102,Formulas!AS143,Formulas!AT143+2),"")))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IFERROR(INDEX(Datos!$A$2:$K$102,Formulas!AW142,RIGHT(Formulas!AY142)+2),"")))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IFERROR(INDEX(Datos!$A$2:$K$102,Formulas!AX143,Formulas!AY143+2),"")))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IFERROR(INDEX(Datos!$A$2:$K$102,Formulas!D143,RIGHT(Formulas!F143)+2),"")))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IFERROR(INDEX(Datos!$A$2:$K$102,Formulas!E144,Formulas!F144+2),"")))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IFERROR(INDEX(Datos!$A$2:$K$102,Formulas!I143,RIGHT(Formulas!K143)+2),"")))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IFERROR(INDEX(Datos!$A$2:$K$102,Formulas!J144,Formulas!K144+2),"")))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IFERROR(INDEX(Datos!$A$2:$K$102,Formulas!N143,RIGHT(Formulas!P143)+2),"")))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IFERROR(INDEX(Datos!$A$2:$K$102,Formulas!O144,Formulas!P144+2),"")))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IFERROR(INDEX(Datos!$A$2:$K$102,Formulas!S143,RIGHT(Formulas!U143)+2),"")))</f>
        <v>3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IFERROR(INDEX(Datos!$A$2:$K$102,Formulas!T144,Formulas!U144+2),"")))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IFERROR(INDEX(Datos!$A$2:$K$102,Formulas!X143,RIGHT(Formulas!Z143)+2),"")))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IFERROR(INDEX(Datos!$A$2:$K$102,Formulas!Y144,Formulas!Z144+2),"")))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IFERROR(INDEX(Datos!$A$2:$K$102,Formulas!AC143,RIGHT(Formulas!AE143)+2),"")))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IFERROR(INDEX(Datos!$A$2:$K$102,Formulas!AD144,Formulas!AE144+2),"")))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IFERROR(INDEX(Datos!$A$2:$K$102,Formulas!AH143,RIGHT(Formulas!AJ143)+2),"")))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IFERROR(INDEX(Datos!$A$2:$K$102,Formulas!AI144,Formulas!AJ144+2),"")))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IFERROR(INDEX(Datos!$A$2:$K$102,Formulas!AM143,RIGHT(Formulas!AO143)+2),"")))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IFERROR(INDEX(Datos!$A$2:$K$102,Formulas!AN144,Formulas!AO144+2),"")))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IFERROR(INDEX(Datos!$A$2:$K$102,Formulas!AR143,RIGHT(Formulas!AT143)+2),"")))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IFERROR(INDEX(Datos!$A$2:$K$102,Formulas!AS144,Formulas!AT144+2),"")))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IFERROR(INDEX(Datos!$A$2:$K$102,Formulas!AW143,RIGHT(Formulas!AY143)+2),"")))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IFERROR(INDEX(Datos!$A$2:$K$102,Formulas!AX144,Formulas!AY144+2),"")))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IFERROR(INDEX(Datos!$A$2:$K$102,Formulas!D144,RIGHT(Formulas!F144)+2),"")))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IFERROR(INDEX(Datos!$A$2:$K$102,Formulas!E145,Formulas!F145+2),"")))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IFERROR(INDEX(Datos!$A$2:$K$102,Formulas!I144,RIGHT(Formulas!K144)+2),"")))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IFERROR(INDEX(Datos!$A$2:$K$102,Formulas!J145,Formulas!K145+2),"")))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IFERROR(INDEX(Datos!$A$2:$K$102,Formulas!N144,RIGHT(Formulas!P144)+2),"")))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IFERROR(INDEX(Datos!$A$2:$K$102,Formulas!O145,Formulas!P145+2),"")))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IFERROR(INDEX(Datos!$A$2:$K$102,Formulas!S144,RIGHT(Formulas!U144)+2),"")))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IFERROR(INDEX(Datos!$A$2:$K$102,Formulas!T145,Formulas!U145+2),"")))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IFERROR(INDEX(Datos!$A$2:$K$102,Formulas!X144,RIGHT(Formulas!Z144)+2),"")))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IFERROR(INDEX(Datos!$A$2:$K$102,Formulas!Y145,Formulas!Z145+2),"")))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IFERROR(INDEX(Datos!$A$2:$K$102,Formulas!AC144,RIGHT(Formulas!AE144)+2),"")))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IFERROR(INDEX(Datos!$A$2:$K$102,Formulas!AD145,Formulas!AE145+2),"")))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IFERROR(INDEX(Datos!$A$2:$K$102,Formulas!AH144,RIGHT(Formulas!AJ144)+2),"")))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IFERROR(INDEX(Datos!$A$2:$K$102,Formulas!AI145,Formulas!AJ145+2),"")))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IFERROR(INDEX(Datos!$A$2:$K$102,Formulas!AM144,RIGHT(Formulas!AO144)+2),"")))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IFERROR(INDEX(Datos!$A$2:$K$102,Formulas!AN145,Formulas!AO145+2),"")))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IFERROR(INDEX(Datos!$A$2:$K$102,Formulas!AR144,RIGHT(Formulas!AT144)+2),"")))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IFERROR(INDEX(Datos!$A$2:$K$102,Formulas!AS145,Formulas!AT145+2),"")))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IFERROR(INDEX(Datos!$A$2:$K$102,Formulas!AW144,RIGHT(Formulas!AY144)+2),"")))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IFERROR(INDEX(Datos!$A$2:$K$102,Formulas!AX145,Formulas!AY145+2),"")))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IFERROR(INDEX(Datos!$A$2:$K$102,Formulas!D145,RIGHT(Formulas!F145)+2),"")))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IFERROR(INDEX(Datos!$A$2:$K$102,Formulas!E146,Formulas!F146+2),"")))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IFERROR(INDEX(Datos!$A$2:$K$102,Formulas!I145,RIGHT(Formulas!K145)+2),"")))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IFERROR(INDEX(Datos!$A$2:$K$102,Formulas!J146,Formulas!K146+2),"")))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IFERROR(INDEX(Datos!$A$2:$K$102,Formulas!N145,RIGHT(Formulas!P145)+2),"")))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IFERROR(INDEX(Datos!$A$2:$K$102,Formulas!O146,Formulas!P146+2),"")))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IFERROR(INDEX(Datos!$A$2:$K$102,Formulas!S145,RIGHT(Formulas!U145)+2),"")))</f>
        <v>Paulina Quishpe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IFERROR(INDEX(Datos!$A$2:$K$102,Formulas!T146,Formulas!U146+2),"")))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IFERROR(INDEX(Datos!$A$2:$K$102,Formulas!X145,RIGHT(Formulas!Z145)+2),"")))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IFERROR(INDEX(Datos!$A$2:$K$102,Formulas!Y146,Formulas!Z146+2),"")))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IFERROR(INDEX(Datos!$A$2:$K$102,Formulas!AC145,RIGHT(Formulas!AE145)+2),"")))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IFERROR(INDEX(Datos!$A$2:$K$102,Formulas!AD146,Formulas!AE146+2),"")))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IFERROR(INDEX(Datos!$A$2:$K$102,Formulas!AH145,RIGHT(Formulas!AJ145)+2),"")))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IFERROR(INDEX(Datos!$A$2:$K$102,Formulas!AI146,Formulas!AJ146+2),"")))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IFERROR(INDEX(Datos!$A$2:$K$102,Formulas!AM145,RIGHT(Formulas!AO145)+2),"")))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IFERROR(INDEX(Datos!$A$2:$K$102,Formulas!AN146,Formulas!AO146+2),"")))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IFERROR(INDEX(Datos!$A$2:$K$102,Formulas!AR145,RIGHT(Formulas!AT145)+2),"")))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IFERROR(INDEX(Datos!$A$2:$K$102,Formulas!AS146,Formulas!AT146+2),"")))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IFERROR(INDEX(Datos!$A$2:$K$102,Formulas!AW145,RIGHT(Formulas!AY145)+2),"")))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IFERROR(INDEX(Datos!$A$2:$K$102,Formulas!AX146,Formulas!AY146+2),"")))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IFERROR(INDEX(Datos!$A$2:$K$102,Formulas!D146,RIGHT(Formulas!F146)+2),"")))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IFERROR(INDEX(Datos!$A$2:$K$102,Formulas!E147,Formulas!F147+2),"")))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IFERROR(INDEX(Datos!$A$2:$K$102,Formulas!I146,RIGHT(Formulas!K146)+2),"")))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IFERROR(INDEX(Datos!$A$2:$K$102,Formulas!J147,Formulas!K147+2),"")))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IFERROR(INDEX(Datos!$A$2:$K$102,Formulas!N146,RIGHT(Formulas!P146)+2),"")))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IFERROR(INDEX(Datos!$A$2:$K$102,Formulas!O147,Formulas!P147+2),"")))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IFERROR(INDEX(Datos!$A$2:$K$102,Formulas!S146,RIGHT(Formulas!U146)+2),"")))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IFERROR(INDEX(Datos!$A$2:$K$102,Formulas!T147,Formulas!U147+2),"")))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IFERROR(INDEX(Datos!$A$2:$K$102,Formulas!X146,RIGHT(Formulas!Z146)+2),"")))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IFERROR(INDEX(Datos!$A$2:$K$102,Formulas!Y147,Formulas!Z147+2),"")))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IFERROR(INDEX(Datos!$A$2:$K$102,Formulas!AC146,RIGHT(Formulas!AE146)+2),"")))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IFERROR(INDEX(Datos!$A$2:$K$102,Formulas!AD147,Formulas!AE147+2),"")))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IFERROR(INDEX(Datos!$A$2:$K$102,Formulas!AH146,RIGHT(Formulas!AJ146)+2),"")))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IFERROR(INDEX(Datos!$A$2:$K$102,Formulas!AI147,Formulas!AJ147+2),"")))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IFERROR(INDEX(Datos!$A$2:$K$102,Formulas!AM146,RIGHT(Formulas!AO146)+2),"")))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IFERROR(INDEX(Datos!$A$2:$K$102,Formulas!AN147,Formulas!AO147+2),"")))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IFERROR(INDEX(Datos!$A$2:$K$102,Formulas!AR146,RIGHT(Formulas!AT146)+2),"")))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IFERROR(INDEX(Datos!$A$2:$K$102,Formulas!AS147,Formulas!AT147+2),"")))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IFERROR(INDEX(Datos!$A$2:$K$102,Formulas!AW146,RIGHT(Formulas!AY146)+2),"")))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IFERROR(INDEX(Datos!$A$2:$K$102,Formulas!AX147,Formulas!AY147+2),"")))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IFERROR(INDEX(Datos!$A$2:$K$102,Formulas!D147,RIGHT(Formulas!F147)+2),"")))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IFERROR(INDEX(Datos!$A$2:$K$102,Formulas!E148,Formulas!F148+2),"")))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IFERROR(INDEX(Datos!$A$2:$K$102,Formulas!I147,RIGHT(Formulas!K147)+2),"")))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IFERROR(INDEX(Datos!$A$2:$K$102,Formulas!J148,Formulas!K148+2),"")))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IFERROR(INDEX(Datos!$A$2:$K$102,Formulas!N147,RIGHT(Formulas!P147)+2),"")))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IFERROR(INDEX(Datos!$A$2:$K$102,Formulas!O148,Formulas!P148+2),"")))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42: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IFERROR(INDEX(Datos!$A$2:$K$102,Formulas!S147,RIGHT(Formulas!U147)+2),"")))</f>
        <v xml:space="preserve">REQ005-2 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IFERROR(INDEX(Datos!$A$2:$K$102,Formulas!T148,Formulas!U148+2),"")))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IFERROR(INDEX(Datos!$A$2:$K$102,Formulas!X147,RIGHT(Formulas!Z147)+2),"")))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IFERROR(INDEX(Datos!$A$2:$K$102,Formulas!Y148,Formulas!Z148+2),"")))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IFERROR(INDEX(Datos!$A$2:$K$102,Formulas!AC147,RIGHT(Formulas!AE147)+2),"")))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IFERROR(INDEX(Datos!$A$2:$K$102,Formulas!AD148,Formulas!AE148+2),"")))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IFERROR(INDEX(Datos!$A$2:$K$102,Formulas!AH147,RIGHT(Formulas!AJ147)+2),"")))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IFERROR(INDEX(Datos!$A$2:$K$102,Formulas!AI148,Formulas!AJ148+2),"")))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IFERROR(INDEX(Datos!$A$2:$K$102,Formulas!AM147,RIGHT(Formulas!AO147)+2),"")))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IFERROR(INDEX(Datos!$A$2:$K$102,Formulas!AN148,Formulas!AO148+2),"")))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IFERROR(INDEX(Datos!$A$2:$K$102,Formulas!AR147,RIGHT(Formulas!AT147)+2),"")))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IFERROR(INDEX(Datos!$A$2:$K$102,Formulas!AS148,Formulas!AT148+2),"")))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IFERROR(INDEX(Datos!$A$2:$K$102,Formulas!AW147,RIGHT(Formulas!AY147)+2),"")))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IFERROR(INDEX(Datos!$A$2:$K$102,Formulas!AX148,Formulas!AY148+2),"")))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IFERROR(INDEX(Datos!$A$2:$K$102,Formulas!D148,RIGHT(Formulas!F148)+2),"")))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IFERROR(INDEX(Datos!$A$2:$K$102,Formulas!E149,Formulas!F149+2),"")))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IFERROR(INDEX(Datos!$A$2:$K$102,Formulas!I148,RIGHT(Formulas!K148)+2),"")))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IFERROR(INDEX(Datos!$A$2:$K$102,Formulas!J149,Formulas!K149+2),"")))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IFERROR(INDEX(Datos!$A$2:$K$102,Formulas!N148,RIGHT(Formulas!P148)+2),"")))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IFERROR(INDEX(Datos!$A$2:$K$102,Formulas!O149,Formulas!P149+2),"")))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IFERROR(INDEX(Datos!$A$2:$K$102,Formulas!S148,RIGHT(Formulas!U148)+2),"")))</f>
        <v>Desarrollar sistema de control de versiones que guarde automáticamente cada modificación con fecha, hora y usuario.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IFERROR(INDEX(Datos!$A$2:$K$102,Formulas!T149,Formulas!U149+2),"")))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IFERROR(INDEX(Datos!$A$2:$K$102,Formulas!X148,RIGHT(Formulas!Z148)+2),"")))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IFERROR(INDEX(Datos!$A$2:$K$102,Formulas!Y149,Formulas!Z149+2),"")))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IFERROR(INDEX(Datos!$A$2:$K$102,Formulas!AC148,RIGHT(Formulas!AE148)+2),"")))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IFERROR(INDEX(Datos!$A$2:$K$102,Formulas!AD149,Formulas!AE149+2),"")))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IFERROR(INDEX(Datos!$A$2:$K$102,Formulas!AH148,RIGHT(Formulas!AJ148)+2),"")))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IFERROR(INDEX(Datos!$A$2:$K$102,Formulas!AI149,Formulas!AJ149+2),"")))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IFERROR(INDEX(Datos!$A$2:$K$102,Formulas!AM148,RIGHT(Formulas!AO148)+2),"")))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IFERROR(INDEX(Datos!$A$2:$K$102,Formulas!AN149,Formulas!AO149+2),"")))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IFERROR(INDEX(Datos!$A$2:$K$102,Formulas!AR148,RIGHT(Formulas!AT148)+2),"")))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IFERROR(INDEX(Datos!$A$2:$K$102,Formulas!AS149,Formulas!AT149+2),"")))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IFERROR(INDEX(Datos!$A$2:$K$102,Formulas!AW148,RIGHT(Formulas!AY148)+2),"")))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IFERROR(INDEX(Datos!$A$2:$K$102,Formulas!AX149,Formulas!AY149+2),"")))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IFERROR(INDEX(Datos!$A$2:$K$102,Formulas!D149,RIGHT(Formulas!F149)+2),"")))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IFERROR(INDEX(Datos!$A$2:$K$102,Formulas!E150,Formulas!F150+2),"")))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IFERROR(INDEX(Datos!$A$2:$K$102,Formulas!I149,RIGHT(Formulas!K149)+2),"")))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IFERROR(INDEX(Datos!$A$2:$K$102,Formulas!J150,Formulas!K150+2),"")))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IFERROR(INDEX(Datos!$A$2:$K$102,Formulas!N149,RIGHT(Formulas!P149)+2),"")))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IFERROR(INDEX(Datos!$A$2:$K$102,Formulas!O150,Formulas!P150+2),"")))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IFERROR(INDEX(Datos!$A$2:$K$102,Formulas!S149,RIGHT(Formulas!U149)+2),"")))</f>
        <v>45854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IFERROR(INDEX(Datos!$A$2:$K$102,Formulas!T150,Formulas!U150+2),"")))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IFERROR(INDEX(Datos!$A$2:$K$102,Formulas!X149,RIGHT(Formulas!Z149)+2),"")))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IFERROR(INDEX(Datos!$A$2:$K$102,Formulas!Y150,Formulas!Z150+2),"")))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IFERROR(INDEX(Datos!$A$2:$K$102,Formulas!AC149,RIGHT(Formulas!AE149)+2),"")))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IFERROR(INDEX(Datos!$A$2:$K$102,Formulas!AD150,Formulas!AE150+2),"")))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IFERROR(INDEX(Datos!$A$2:$K$102,Formulas!AH149,RIGHT(Formulas!AJ149)+2),"")))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IFERROR(INDEX(Datos!$A$2:$K$102,Formulas!AI150,Formulas!AJ150+2),"")))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IFERROR(INDEX(Datos!$A$2:$K$102,Formulas!AM149,RIGHT(Formulas!AO149)+2),"")))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IFERROR(INDEX(Datos!$A$2:$K$102,Formulas!AN150,Formulas!AO150+2),"")))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IFERROR(INDEX(Datos!$A$2:$K$102,Formulas!AR149,RIGHT(Formulas!AT149)+2),"")))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IFERROR(INDEX(Datos!$A$2:$K$102,Formulas!AS150,Formulas!AT150+2),"")))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IFERROR(INDEX(Datos!$A$2:$K$102,Formulas!AW149,RIGHT(Formulas!AY149)+2),"")))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IFERROR(INDEX(Datos!$A$2:$K$102,Formulas!AX150,Formulas!AY150+2),"")))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IFERROR(INDEX(Datos!$A$2:$K$102,Formulas!D150,RIGHT(Formulas!F150)+2),"")))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IFERROR(INDEX(Datos!$A$2:$K$102,Formulas!E151,Formulas!F151+2),"")))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IFERROR(INDEX(Datos!$A$2:$K$102,Formulas!I150,RIGHT(Formulas!K150)+2),"")))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IFERROR(INDEX(Datos!$A$2:$K$102,Formulas!J151,Formulas!K151+2),"")))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IFERROR(INDEX(Datos!$A$2:$K$102,Formulas!N150,RIGHT(Formulas!P150)+2),"")))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IFERROR(INDEX(Datos!$A$2:$K$102,Formulas!O151,Formulas!P151+2),"")))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IFERROR(INDEX(Datos!$A$2:$K$102,Formulas!S150,RIGHT(Formulas!U150)+2),"")))</f>
        <v>45857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IFERROR(INDEX(Datos!$A$2:$K$102,Formulas!T151,Formulas!U151+2),"")))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IFERROR(INDEX(Datos!$A$2:$K$102,Formulas!X150,RIGHT(Formulas!Z150)+2),"")))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IFERROR(INDEX(Datos!$A$2:$K$102,Formulas!Y151,Formulas!Z151+2),"")))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IFERROR(INDEX(Datos!$A$2:$K$102,Formulas!AC150,RIGHT(Formulas!AE150)+2),"")))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IFERROR(INDEX(Datos!$A$2:$K$102,Formulas!AD151,Formulas!AE151+2),"")))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IFERROR(INDEX(Datos!$A$2:$K$102,Formulas!AH150,RIGHT(Formulas!AJ150)+2),"")))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IFERROR(INDEX(Datos!$A$2:$K$102,Formulas!AI151,Formulas!AJ151+2),"")))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IFERROR(INDEX(Datos!$A$2:$K$102,Formulas!AM150,RIGHT(Formulas!AO150)+2),"")))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IFERROR(INDEX(Datos!$A$2:$K$102,Formulas!AN151,Formulas!AO151+2),"")))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IFERROR(INDEX(Datos!$A$2:$K$102,Formulas!AR150,RIGHT(Formulas!AT150)+2),"")))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IFERROR(INDEX(Datos!$A$2:$K$102,Formulas!AS151,Formulas!AT151+2),"")))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IFERROR(INDEX(Datos!$A$2:$K$102,Formulas!AW150,RIGHT(Formulas!AY150)+2),"")))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IFERROR(INDEX(Datos!$A$2:$K$102,Formulas!AX151,Formulas!AY151+2),"")))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IFERROR(INDEX(Datos!$A$2:$K$102,Formulas!D151,RIGHT(Formulas!F151)+2),"")))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IFERROR(INDEX(Datos!$A$2:$K$102,Formulas!E152,Formulas!F152+2),"")))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IFERROR(INDEX(Datos!$A$2:$K$102,Formulas!I151,RIGHT(Formulas!K151)+2),"")))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IFERROR(INDEX(Datos!$A$2:$K$102,Formulas!J152,Formulas!K152+2),"")))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IFERROR(INDEX(Datos!$A$2:$K$102,Formulas!N151,RIGHT(Formulas!P151)+2),"")))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IFERROR(INDEX(Datos!$A$2:$K$102,Formulas!O152,Formulas!P152+2),"")))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IFERROR(INDEX(Datos!$A$2:$K$102,Formulas!S151,RIGHT(Formulas!U151)+2),"")))</f>
        <v>45857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IFERROR(INDEX(Datos!$A$2:$K$102,Formulas!T152,Formulas!U152+2),"")))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IFERROR(INDEX(Datos!$A$2:$K$102,Formulas!X151,RIGHT(Formulas!Z151)+2),"")))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IFERROR(INDEX(Datos!$A$2:$K$102,Formulas!Y152,Formulas!Z152+2),"")))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IFERROR(INDEX(Datos!$A$2:$K$102,Formulas!AC151,RIGHT(Formulas!AE151)+2),"")))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IFERROR(INDEX(Datos!$A$2:$K$102,Formulas!AD152,Formulas!AE152+2),"")))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IFERROR(INDEX(Datos!$A$2:$K$102,Formulas!AH151,RIGHT(Formulas!AJ151)+2),"")))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IFERROR(INDEX(Datos!$A$2:$K$102,Formulas!AI152,Formulas!AJ152+2),"")))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IFERROR(INDEX(Datos!$A$2:$K$102,Formulas!AM151,RIGHT(Formulas!AO151)+2),"")))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IFERROR(INDEX(Datos!$A$2:$K$102,Formulas!AN152,Formulas!AO152+2),"")))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IFERROR(INDEX(Datos!$A$2:$K$102,Formulas!AR151,RIGHT(Formulas!AT151)+2),"")))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IFERROR(INDEX(Datos!$A$2:$K$102,Formulas!AS152,Formulas!AT152+2),"")))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IFERROR(INDEX(Datos!$A$2:$K$102,Formulas!AW151,RIGHT(Formulas!AY151)+2),"")))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IFERROR(INDEX(Datos!$A$2:$K$102,Formulas!AX152,Formulas!AY152+2),"")))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IFERROR(INDEX(Datos!$A$2:$K$102,Formulas!D152,RIGHT(Formulas!F152)+2),"")))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IFERROR(INDEX(Datos!$A$2:$K$102,Formulas!E153,Formulas!F153+2),"")))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IFERROR(INDEX(Datos!$A$2:$K$102,Formulas!I152,RIGHT(Formulas!K152)+2),"")))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IFERROR(INDEX(Datos!$A$2:$K$102,Formulas!J153,Formulas!K153+2),"")))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IFERROR(INDEX(Datos!$A$2:$K$102,Formulas!N152,RIGHT(Formulas!P152)+2),"")))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IFERROR(INDEX(Datos!$A$2:$K$102,Formulas!O153,Formulas!P153+2),"")))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IFERROR(INDEX(Datos!$A$2:$K$102,Formulas!S152,RIGHT(Formulas!U152)+2),"")))</f>
        <v>4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IFERROR(INDEX(Datos!$A$2:$K$102,Formulas!T153,Formulas!U153+2),"")))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IFERROR(INDEX(Datos!$A$2:$K$102,Formulas!X152,RIGHT(Formulas!Z152)+2),"")))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IFERROR(INDEX(Datos!$A$2:$K$102,Formulas!Y153,Formulas!Z153+2),"")))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IFERROR(INDEX(Datos!$A$2:$K$102,Formulas!AC152,RIGHT(Formulas!AE152)+2),"")))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IFERROR(INDEX(Datos!$A$2:$K$102,Formulas!AD153,Formulas!AE153+2),"")))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IFERROR(INDEX(Datos!$A$2:$K$102,Formulas!AH152,RIGHT(Formulas!AJ152)+2),"")))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IFERROR(INDEX(Datos!$A$2:$K$102,Formulas!AI153,Formulas!AJ153+2),"")))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IFERROR(INDEX(Datos!$A$2:$K$102,Formulas!AM152,RIGHT(Formulas!AO152)+2),"")))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IFERROR(INDEX(Datos!$A$2:$K$102,Formulas!AN153,Formulas!AO153+2),"")))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IFERROR(INDEX(Datos!$A$2:$K$102,Formulas!AR152,RIGHT(Formulas!AT152)+2),"")))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IFERROR(INDEX(Datos!$A$2:$K$102,Formulas!AS153,Formulas!AT153+2),"")))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IFERROR(INDEX(Datos!$A$2:$K$102,Formulas!AW152,RIGHT(Formulas!AY152)+2),"")))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IFERROR(INDEX(Datos!$A$2:$K$102,Formulas!AX153,Formulas!AY153+2),"")))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IFERROR(INDEX(Datos!$A$2:$K$102,Formulas!D153,RIGHT(Formulas!F153)+2),"")))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IFERROR(INDEX(Datos!$A$2:$K$102,Formulas!E154,Formulas!F154+2),"")))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IFERROR(INDEX(Datos!$A$2:$K$102,Formulas!I153,RIGHT(Formulas!K153)+2),"")))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IFERROR(INDEX(Datos!$A$2:$K$102,Formulas!J154,Formulas!K154+2),"")))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IFERROR(INDEX(Datos!$A$2:$K$102,Formulas!N153,RIGHT(Formulas!P153)+2),"")))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IFERROR(INDEX(Datos!$A$2:$K$102,Formulas!O154,Formulas!P154+2),"")))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IFERROR(INDEX(Datos!$A$2:$K$102,Formulas!S153,RIGHT(Formulas!U153)+2),"")))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IFERROR(INDEX(Datos!$A$2:$K$102,Formulas!T154,Formulas!U154+2),"")))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IFERROR(INDEX(Datos!$A$2:$K$102,Formulas!X153,RIGHT(Formulas!Z153)+2),"")))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IFERROR(INDEX(Datos!$A$2:$K$102,Formulas!Y154,Formulas!Z154+2),"")))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IFERROR(INDEX(Datos!$A$2:$K$102,Formulas!AC153,RIGHT(Formulas!AE153)+2),"")))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IFERROR(INDEX(Datos!$A$2:$K$102,Formulas!AD154,Formulas!AE154+2),"")))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IFERROR(INDEX(Datos!$A$2:$K$102,Formulas!AH153,RIGHT(Formulas!AJ153)+2),"")))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IFERROR(INDEX(Datos!$A$2:$K$102,Formulas!AI154,Formulas!AJ154+2),"")))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IFERROR(INDEX(Datos!$A$2:$K$102,Formulas!AM153,RIGHT(Formulas!AO153)+2),"")))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IFERROR(INDEX(Datos!$A$2:$K$102,Formulas!AN154,Formulas!AO154+2),"")))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IFERROR(INDEX(Datos!$A$2:$K$102,Formulas!AR153,RIGHT(Formulas!AT153)+2),"")))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IFERROR(INDEX(Datos!$A$2:$K$102,Formulas!AS154,Formulas!AT154+2),"")))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IFERROR(INDEX(Datos!$A$2:$K$102,Formulas!AW153,RIGHT(Formulas!AY153)+2),"")))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IFERROR(INDEX(Datos!$A$2:$K$102,Formulas!AX154,Formulas!AY154+2),"")))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IFERROR(INDEX(Datos!$A$2:$K$102,Formulas!D154,RIGHT(Formulas!F154)+2),"")))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IFERROR(INDEX(Datos!$A$2:$K$102,Formulas!E155,Formulas!F155+2),"")))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IFERROR(INDEX(Datos!$A$2:$K$102,Formulas!I154,RIGHT(Formulas!K154)+2),"")))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IFERROR(INDEX(Datos!$A$2:$K$102,Formulas!J155,Formulas!K155+2),"")))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IFERROR(INDEX(Datos!$A$2:$K$102,Formulas!N154,RIGHT(Formulas!P154)+2),"")))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IFERROR(INDEX(Datos!$A$2:$K$102,Formulas!O155,Formulas!P155+2),"")))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IFERROR(INDEX(Datos!$A$2:$K$102,Formulas!S154,RIGHT(Formulas!U154)+2),"")))</f>
        <v>Paulina Quishpe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IFERROR(INDEX(Datos!$A$2:$K$102,Formulas!T155,Formulas!U155+2),"")))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IFERROR(INDEX(Datos!$A$2:$K$102,Formulas!X154,RIGHT(Formulas!Z154)+2),"")))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IFERROR(INDEX(Datos!$A$2:$K$102,Formulas!Y155,Formulas!Z155+2),"")))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IFERROR(INDEX(Datos!$A$2:$K$102,Formulas!AC154,RIGHT(Formulas!AE154)+2),"")))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IFERROR(INDEX(Datos!$A$2:$K$102,Formulas!AD155,Formulas!AE155+2),"")))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IFERROR(INDEX(Datos!$A$2:$K$102,Formulas!AH154,RIGHT(Formulas!AJ154)+2),"")))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IFERROR(INDEX(Datos!$A$2:$K$102,Formulas!AI155,Formulas!AJ155+2),"")))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IFERROR(INDEX(Datos!$A$2:$K$102,Formulas!AM154,RIGHT(Formulas!AO154)+2),"")))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IFERROR(INDEX(Datos!$A$2:$K$102,Formulas!AN155,Formulas!AO155+2),"")))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IFERROR(INDEX(Datos!$A$2:$K$102,Formulas!AR154,RIGHT(Formulas!AT154)+2),"")))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IFERROR(INDEX(Datos!$A$2:$K$102,Formulas!AS155,Formulas!AT155+2),"")))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IFERROR(INDEX(Datos!$A$2:$K$102,Formulas!AW154,RIGHT(Formulas!AY154)+2),"")))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IFERROR(INDEX(Datos!$A$2:$K$102,Formulas!AX155,Formulas!AY155+2),"")))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IFERROR(INDEX(Datos!$A$2:$K$102,Formulas!D155,RIGHT(Formulas!F155)+2),"")))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IFERROR(INDEX(Datos!$A$2:$K$102,Formulas!E156,Formulas!F156+2),"")))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IFERROR(INDEX(Datos!$A$2:$K$102,Formulas!I155,RIGHT(Formulas!K155)+2),"")))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IFERROR(INDEX(Datos!$A$2:$K$102,Formulas!J156,Formulas!K156+2),"")))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IFERROR(INDEX(Datos!$A$2:$K$102,Formulas!N155,RIGHT(Formulas!P155)+2),"")))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IFERROR(INDEX(Datos!$A$2:$K$102,Formulas!O156,Formulas!P156+2),"")))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IFERROR(INDEX(Datos!$A$2:$K$102,Formulas!S155,RIGHT(Formulas!U155)+2),"")))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IFERROR(INDEX(Datos!$A$2:$K$102,Formulas!T156,Formulas!U156+2),"")))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IFERROR(INDEX(Datos!$A$2:$K$102,Formulas!X155,RIGHT(Formulas!Z155)+2),"")))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IFERROR(INDEX(Datos!$A$2:$K$102,Formulas!Y156,Formulas!Z156+2),"")))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IFERROR(INDEX(Datos!$A$2:$K$102,Formulas!AC155,RIGHT(Formulas!AE155)+2),"")))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IFERROR(INDEX(Datos!$A$2:$K$102,Formulas!AD156,Formulas!AE156+2),"")))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IFERROR(INDEX(Datos!$A$2:$K$102,Formulas!AH155,RIGHT(Formulas!AJ155)+2),"")))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IFERROR(INDEX(Datos!$A$2:$K$102,Formulas!AI156,Formulas!AJ156+2),"")))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IFERROR(INDEX(Datos!$A$2:$K$102,Formulas!AM155,RIGHT(Formulas!AO155)+2),"")))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IFERROR(INDEX(Datos!$A$2:$K$102,Formulas!AN156,Formulas!AO156+2),"")))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IFERROR(INDEX(Datos!$A$2:$K$102,Formulas!AR155,RIGHT(Formulas!AT155)+2),"")))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IFERROR(INDEX(Datos!$A$2:$K$102,Formulas!AS156,Formulas!AT156+2),"")))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IFERROR(INDEX(Datos!$A$2:$K$102,Formulas!AW155,RIGHT(Formulas!AY155)+2),"")))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IFERROR(INDEX(Datos!$A$2:$K$102,Formulas!AX156,Formulas!AY156+2),"")))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IFERROR(INDEX(Datos!$A$2:$K$102,Formulas!D156,RIGHT(Formulas!F156)+2),"")))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IFERROR(INDEX(Datos!$A$2:$K$102,Formulas!E157,Formulas!F157+2),"")))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IFERROR(INDEX(Datos!$A$2:$K$102,Formulas!I156,RIGHT(Formulas!K156)+2),"")))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IFERROR(INDEX(Datos!$A$2:$K$102,Formulas!J157,Formulas!K157+2),"")))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IFERROR(INDEX(Datos!$A$2:$K$102,Formulas!N156,RIGHT(Formulas!P156)+2),"")))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IFERROR(INDEX(Datos!$A$2:$K$102,Formulas!O157,Formulas!P157+2),"")))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41: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IFERROR(INDEX(Datos!$A$2:$K$102,Formulas!S156,RIGHT(Formulas!U156)+2),"")))</f>
        <v>REQ005-1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IFERROR(INDEX(Datos!$A$2:$K$102,Formulas!T157,Formulas!U157+2),"")))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IFERROR(INDEX(Datos!$A$2:$K$102,Formulas!X156,RIGHT(Formulas!Z156)+2),"")))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IFERROR(INDEX(Datos!$A$2:$K$102,Formulas!Y157,Formulas!Z157+2),"")))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IFERROR(INDEX(Datos!$A$2:$K$102,Formulas!AC156,RIGHT(Formulas!AE156)+2),"")))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IFERROR(INDEX(Datos!$A$2:$K$102,Formulas!AD157,Formulas!AE157+2),"")))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IFERROR(INDEX(Datos!$A$2:$K$102,Formulas!AH156,RIGHT(Formulas!AJ156)+2),"")))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IFERROR(INDEX(Datos!$A$2:$K$102,Formulas!AI157,Formulas!AJ157+2),"")))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IFERROR(INDEX(Datos!$A$2:$K$102,Formulas!AM156,RIGHT(Formulas!AO156)+2),"")))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IFERROR(INDEX(Datos!$A$2:$K$102,Formulas!AN157,Formulas!AO157+2),"")))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IFERROR(INDEX(Datos!$A$2:$K$102,Formulas!AR156,RIGHT(Formulas!AT156)+2),"")))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IFERROR(INDEX(Datos!$A$2:$K$102,Formulas!AS157,Formulas!AT157+2),"")))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IFERROR(INDEX(Datos!$A$2:$K$102,Formulas!AW156,RIGHT(Formulas!AY156)+2),"")))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IFERROR(INDEX(Datos!$A$2:$K$102,Formulas!AX157,Formulas!AY157+2),"")))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IFERROR(INDEX(Datos!$A$2:$K$102,Formulas!D157,RIGHT(Formulas!F157)+2),"")))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IFERROR(INDEX(Datos!$A$2:$K$102,Formulas!E158,Formulas!F158+2),"")))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IFERROR(INDEX(Datos!$A$2:$K$102,Formulas!I157,RIGHT(Formulas!K157)+2),"")))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IFERROR(INDEX(Datos!$A$2:$K$102,Formulas!J158,Formulas!K158+2),"")))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IFERROR(INDEX(Datos!$A$2:$K$102,Formulas!N157,RIGHT(Formulas!P157)+2),"")))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IFERROR(INDEX(Datos!$A$2:$K$102,Formulas!O158,Formulas!P158+2),"")))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IFERROR(INDEX(Datos!$A$2:$K$102,Formulas!S157,RIGHT(Formulas!U157)+2),"")))</f>
        <v>Implementar botón de "editar" dentro de la vista de detalle del contrato con validación de permisos.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IFERROR(INDEX(Datos!$A$2:$K$102,Formulas!T158,Formulas!U158+2),"")))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IFERROR(INDEX(Datos!$A$2:$K$102,Formulas!X157,RIGHT(Formulas!Z157)+2),"")))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IFERROR(INDEX(Datos!$A$2:$K$102,Formulas!Y158,Formulas!Z158+2),"")))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IFERROR(INDEX(Datos!$A$2:$K$102,Formulas!AC157,RIGHT(Formulas!AE157)+2),"")))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IFERROR(INDEX(Datos!$A$2:$K$102,Formulas!AD158,Formulas!AE158+2),"")))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IFERROR(INDEX(Datos!$A$2:$K$102,Formulas!AH157,RIGHT(Formulas!AJ157)+2),"")))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IFERROR(INDEX(Datos!$A$2:$K$102,Formulas!AI158,Formulas!AJ158+2),"")))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IFERROR(INDEX(Datos!$A$2:$K$102,Formulas!AM157,RIGHT(Formulas!AO157)+2),"")))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IFERROR(INDEX(Datos!$A$2:$K$102,Formulas!AN158,Formulas!AO158+2),"")))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IFERROR(INDEX(Datos!$A$2:$K$102,Formulas!AR157,RIGHT(Formulas!AT157)+2),"")))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IFERROR(INDEX(Datos!$A$2:$K$102,Formulas!AS158,Formulas!AT158+2),"")))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IFERROR(INDEX(Datos!$A$2:$K$102,Formulas!AW157,RIGHT(Formulas!AY157)+2),"")))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IFERROR(INDEX(Datos!$A$2:$K$102,Formulas!AX158,Formulas!AY158+2),"")))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IFERROR(INDEX(Datos!$A$2:$K$102,Formulas!D158,RIGHT(Formulas!F158)+2),"")))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IFERROR(INDEX(Datos!$A$2:$K$102,Formulas!E159,Formulas!F159+2),"")))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IFERROR(INDEX(Datos!$A$2:$K$102,Formulas!I158,RIGHT(Formulas!K158)+2),"")))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IFERROR(INDEX(Datos!$A$2:$K$102,Formulas!J159,Formulas!K159+2),"")))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IFERROR(INDEX(Datos!$A$2:$K$102,Formulas!N158,RIGHT(Formulas!P158)+2),"")))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IFERROR(INDEX(Datos!$A$2:$K$102,Formulas!O159,Formulas!P159+2),"")))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IFERROR(INDEX(Datos!$A$2:$K$102,Formulas!S158,RIGHT(Formulas!U158)+2),"")))</f>
        <v>45851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IFERROR(INDEX(Datos!$A$2:$K$102,Formulas!T159,Formulas!U159+2),"")))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IFERROR(INDEX(Datos!$A$2:$K$102,Formulas!X158,RIGHT(Formulas!Z158)+2),"")))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IFERROR(INDEX(Datos!$A$2:$K$102,Formulas!Y159,Formulas!Z159+2),"")))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IFERROR(INDEX(Datos!$A$2:$K$102,Formulas!AC158,RIGHT(Formulas!AE158)+2),"")))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IFERROR(INDEX(Datos!$A$2:$K$102,Formulas!AD159,Formulas!AE159+2),"")))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IFERROR(INDEX(Datos!$A$2:$K$102,Formulas!AH158,RIGHT(Formulas!AJ158)+2),"")))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IFERROR(INDEX(Datos!$A$2:$K$102,Formulas!AI159,Formulas!AJ159+2),"")))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IFERROR(INDEX(Datos!$A$2:$K$102,Formulas!AM158,RIGHT(Formulas!AO158)+2),"")))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IFERROR(INDEX(Datos!$A$2:$K$102,Formulas!AN159,Formulas!AO159+2),"")))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IFERROR(INDEX(Datos!$A$2:$K$102,Formulas!AR158,RIGHT(Formulas!AT158)+2),"")))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IFERROR(INDEX(Datos!$A$2:$K$102,Formulas!AS159,Formulas!AT159+2),"")))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IFERROR(INDEX(Datos!$A$2:$K$102,Formulas!AW158,RIGHT(Formulas!AY158)+2),"")))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IFERROR(INDEX(Datos!$A$2:$K$102,Formulas!AX159,Formulas!AY159+2),"")))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IFERROR(INDEX(Datos!$A$2:$K$102,Formulas!D159,RIGHT(Formulas!F159)+2),"")))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IFERROR(INDEX(Datos!$A$2:$K$102,Formulas!E160,Formulas!F160+2),"")))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IFERROR(INDEX(Datos!$A$2:$K$102,Formulas!I159,RIGHT(Formulas!K159)+2),"")))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IFERROR(INDEX(Datos!$A$2:$K$102,Formulas!J160,Formulas!K160+2),"")))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IFERROR(INDEX(Datos!$A$2:$K$102,Formulas!N159,RIGHT(Formulas!P159)+2),"")))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IFERROR(INDEX(Datos!$A$2:$K$102,Formulas!O160,Formulas!P160+2),"")))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IFERROR(INDEX(Datos!$A$2:$K$102,Formulas!S159,RIGHT(Formulas!U159)+2),"")))</f>
        <v>45853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IFERROR(INDEX(Datos!$A$2:$K$102,Formulas!T160,Formulas!U160+2),"")))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IFERROR(INDEX(Datos!$A$2:$K$102,Formulas!X159,RIGHT(Formulas!Z159)+2),"")))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IFERROR(INDEX(Datos!$A$2:$K$102,Formulas!Y160,Formulas!Z160+2),"")))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IFERROR(INDEX(Datos!$A$2:$K$102,Formulas!AC159,RIGHT(Formulas!AE159)+2),"")))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IFERROR(INDEX(Datos!$A$2:$K$102,Formulas!AD160,Formulas!AE160+2),"")))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IFERROR(INDEX(Datos!$A$2:$K$102,Formulas!AH159,RIGHT(Formulas!AJ159)+2),"")))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IFERROR(INDEX(Datos!$A$2:$K$102,Formulas!AI160,Formulas!AJ160+2),"")))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IFERROR(INDEX(Datos!$A$2:$K$102,Formulas!AM159,RIGHT(Formulas!AO159)+2),"")))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IFERROR(INDEX(Datos!$A$2:$K$102,Formulas!AN160,Formulas!AO160+2),"")))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IFERROR(INDEX(Datos!$A$2:$K$102,Formulas!AR159,RIGHT(Formulas!AT159)+2),"")))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IFERROR(INDEX(Datos!$A$2:$K$102,Formulas!AS160,Formulas!AT160+2),"")))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IFERROR(INDEX(Datos!$A$2:$K$102,Formulas!AW159,RIGHT(Formulas!AY159)+2),"")))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IFERROR(INDEX(Datos!$A$2:$K$102,Formulas!AX160,Formulas!AY160+2),"")))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IFERROR(INDEX(Datos!$A$2:$K$102,Formulas!D160,RIGHT(Formulas!F160)+2),"")))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IFERROR(INDEX(Datos!$A$2:$K$102,Formulas!E161,Formulas!F161+2),"")))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IFERROR(INDEX(Datos!$A$2:$K$102,Formulas!I160,RIGHT(Formulas!K160)+2),"")))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IFERROR(INDEX(Datos!$A$2:$K$102,Formulas!J161,Formulas!K161+2),"")))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IFERROR(INDEX(Datos!$A$2:$K$102,Formulas!N160,RIGHT(Formulas!P160)+2),"")))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IFERROR(INDEX(Datos!$A$2:$K$102,Formulas!O161,Formulas!P161+2),"")))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IFERROR(INDEX(Datos!$A$2:$K$102,Formulas!S160,RIGHT(Formulas!U160)+2),"")))</f>
        <v>45853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IFERROR(INDEX(Datos!$A$2:$K$102,Formulas!T161,Formulas!U161+2),"")))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IFERROR(INDEX(Datos!$A$2:$K$102,Formulas!X160,RIGHT(Formulas!Z160)+2),"")))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IFERROR(INDEX(Datos!$A$2:$K$102,Formulas!Y161,Formulas!Z161+2),"")))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IFERROR(INDEX(Datos!$A$2:$K$102,Formulas!AC160,RIGHT(Formulas!AE160)+2),"")))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IFERROR(INDEX(Datos!$A$2:$K$102,Formulas!AD161,Formulas!AE161+2),"")))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IFERROR(INDEX(Datos!$A$2:$K$102,Formulas!AH160,RIGHT(Formulas!AJ160)+2),"")))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IFERROR(INDEX(Datos!$A$2:$K$102,Formulas!AI161,Formulas!AJ161+2),"")))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IFERROR(INDEX(Datos!$A$2:$K$102,Formulas!AM160,RIGHT(Formulas!AO160)+2),"")))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IFERROR(INDEX(Datos!$A$2:$K$102,Formulas!AN161,Formulas!AO161+2),"")))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IFERROR(INDEX(Datos!$A$2:$K$102,Formulas!AR160,RIGHT(Formulas!AT160)+2),"")))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IFERROR(INDEX(Datos!$A$2:$K$102,Formulas!AS161,Formulas!AT161+2),"")))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IFERROR(INDEX(Datos!$A$2:$K$102,Formulas!AW160,RIGHT(Formulas!AY160)+2),"")))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IFERROR(INDEX(Datos!$A$2:$K$102,Formulas!AX161,Formulas!AY161+2),"")))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IFERROR(INDEX(Datos!$A$2:$K$102,Formulas!D161,RIGHT(Formulas!F161)+2),"")))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IFERROR(INDEX(Datos!$A$2:$K$102,Formulas!E162,Formulas!F162+2),"")))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IFERROR(INDEX(Datos!$A$2:$K$102,Formulas!I161,RIGHT(Formulas!K161)+2),"")))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IFERROR(INDEX(Datos!$A$2:$K$102,Formulas!J162,Formulas!K162+2),"")))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IFERROR(INDEX(Datos!$A$2:$K$102,Formulas!N161,RIGHT(Formulas!P161)+2),"")))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IFERROR(INDEX(Datos!$A$2:$K$102,Formulas!O162,Formulas!P162+2),"")))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IFERROR(INDEX(Datos!$A$2:$K$102,Formulas!S161,RIGHT(Formulas!U161)+2),"")))</f>
        <v>3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IFERROR(INDEX(Datos!$A$2:$K$102,Formulas!T162,Formulas!U162+2),"")))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IFERROR(INDEX(Datos!$A$2:$K$102,Formulas!X161,RIGHT(Formulas!Z161)+2),"")))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IFERROR(INDEX(Datos!$A$2:$K$102,Formulas!Y162,Formulas!Z162+2),"")))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IFERROR(INDEX(Datos!$A$2:$K$102,Formulas!AC161,RIGHT(Formulas!AE161)+2),"")))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IFERROR(INDEX(Datos!$A$2:$K$102,Formulas!AD162,Formulas!AE162+2),"")))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IFERROR(INDEX(Datos!$A$2:$K$102,Formulas!AH161,RIGHT(Formulas!AJ161)+2),"")))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IFERROR(INDEX(Datos!$A$2:$K$102,Formulas!AI162,Formulas!AJ162+2),"")))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IFERROR(INDEX(Datos!$A$2:$K$102,Formulas!AM161,RIGHT(Formulas!AO161)+2),"")))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IFERROR(INDEX(Datos!$A$2:$K$102,Formulas!AN162,Formulas!AO162+2),"")))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IFERROR(INDEX(Datos!$A$2:$K$102,Formulas!AR161,RIGHT(Formulas!AT161)+2),"")))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IFERROR(INDEX(Datos!$A$2:$K$102,Formulas!AS162,Formulas!AT162+2),"")))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IFERROR(INDEX(Datos!$A$2:$K$102,Formulas!AW161,RIGHT(Formulas!AY161)+2),"")))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IFERROR(INDEX(Datos!$A$2:$K$102,Formulas!AX162,Formulas!AY162+2),"")))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IFERROR(INDEX(Datos!$A$2:$K$102,Formulas!D162,RIGHT(Formulas!F162)+2),"")))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IFERROR(INDEX(Datos!$A$2:$K$102,Formulas!E163,Formulas!F163+2),"")))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IFERROR(INDEX(Datos!$A$2:$K$102,Formulas!I162,RIGHT(Formulas!K162)+2),"")))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IFERROR(INDEX(Datos!$A$2:$K$102,Formulas!J163,Formulas!K163+2),"")))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IFERROR(INDEX(Datos!$A$2:$K$102,Formulas!N162,RIGHT(Formulas!P162)+2),"")))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IFERROR(INDEX(Datos!$A$2:$K$102,Formulas!O163,Formulas!P163+2),"")))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IFERROR(INDEX(Datos!$A$2:$K$102,Formulas!S162,RIGHT(Formulas!U162)+2),"")))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IFERROR(INDEX(Datos!$A$2:$K$102,Formulas!T163,Formulas!U163+2),"")))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IFERROR(INDEX(Datos!$A$2:$K$102,Formulas!X162,RIGHT(Formulas!Z162)+2),"")))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IFERROR(INDEX(Datos!$A$2:$K$102,Formulas!Y163,Formulas!Z163+2),"")))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IFERROR(INDEX(Datos!$A$2:$K$102,Formulas!AC162,RIGHT(Formulas!AE162)+2),"")))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IFERROR(INDEX(Datos!$A$2:$K$102,Formulas!AD163,Formulas!AE163+2),"")))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IFERROR(INDEX(Datos!$A$2:$K$102,Formulas!AH162,RIGHT(Formulas!AJ162)+2),"")))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IFERROR(INDEX(Datos!$A$2:$K$102,Formulas!AI163,Formulas!AJ163+2),"")))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IFERROR(INDEX(Datos!$A$2:$K$102,Formulas!AM162,RIGHT(Formulas!AO162)+2),"")))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IFERROR(INDEX(Datos!$A$2:$K$102,Formulas!AN163,Formulas!AO163+2),"")))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IFERROR(INDEX(Datos!$A$2:$K$102,Formulas!AR162,RIGHT(Formulas!AT162)+2),"")))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IFERROR(INDEX(Datos!$A$2:$K$102,Formulas!AS163,Formulas!AT163+2),"")))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IFERROR(INDEX(Datos!$A$2:$K$102,Formulas!AW162,RIGHT(Formulas!AY162)+2),"")))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IFERROR(INDEX(Datos!$A$2:$K$102,Formulas!AX163,Formulas!AY163+2),"")))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IFERROR(INDEX(Datos!$A$2:$K$102,Formulas!D163,RIGHT(Formulas!F163)+2),"")))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IFERROR(INDEX(Datos!$A$2:$K$102,Formulas!E164,Formulas!F164+2),"")))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IFERROR(INDEX(Datos!$A$2:$K$102,Formulas!I163,RIGHT(Formulas!K163)+2),"")))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IFERROR(INDEX(Datos!$A$2:$K$102,Formulas!J164,Formulas!K164+2),"")))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IFERROR(INDEX(Datos!$A$2:$K$102,Formulas!N163,RIGHT(Formulas!P163)+2),"")))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IFERROR(INDEX(Datos!$A$2:$K$102,Formulas!O164,Formulas!P164+2),"")))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IFERROR(INDEX(Datos!$A$2:$K$102,Formulas!S163,RIGHT(Formulas!U163)+2),"")))</f>
        <v>Paulina Quishpe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IFERROR(INDEX(Datos!$A$2:$K$102,Formulas!T164,Formulas!U164+2),"")))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IFERROR(INDEX(Datos!$A$2:$K$102,Formulas!X163,RIGHT(Formulas!Z163)+2),"")))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IFERROR(INDEX(Datos!$A$2:$K$102,Formulas!Y164,Formulas!Z164+2),"")))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IFERROR(INDEX(Datos!$A$2:$K$102,Formulas!AC163,RIGHT(Formulas!AE163)+2),"")))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IFERROR(INDEX(Datos!$A$2:$K$102,Formulas!AD164,Formulas!AE164+2),"")))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IFERROR(INDEX(Datos!$A$2:$K$102,Formulas!AH163,RIGHT(Formulas!AJ163)+2),"")))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IFERROR(INDEX(Datos!$A$2:$K$102,Formulas!AI164,Formulas!AJ164+2),"")))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IFERROR(INDEX(Datos!$A$2:$K$102,Formulas!AM163,RIGHT(Formulas!AO163)+2),"")))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IFERROR(INDEX(Datos!$A$2:$K$102,Formulas!AN164,Formulas!AO164+2),"")))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IFERROR(INDEX(Datos!$A$2:$K$102,Formulas!AR163,RIGHT(Formulas!AT163)+2),"")))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IFERROR(INDEX(Datos!$A$2:$K$102,Formulas!AS164,Formulas!AT164+2),"")))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IFERROR(INDEX(Datos!$A$2:$K$102,Formulas!AW163,RIGHT(Formulas!AY163)+2),"")))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IFERROR(INDEX(Datos!$A$2:$K$102,Formulas!AX164,Formulas!AY164+2),"")))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IFERROR(INDEX(Datos!$A$2:$K$102,Formulas!D164,RIGHT(Formulas!F164)+2),"")))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IFERROR(INDEX(Datos!$A$2:$K$102,Formulas!E165,Formulas!F165+2),"")))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IFERROR(INDEX(Datos!$A$2:$K$102,Formulas!I164,RIGHT(Formulas!K164)+2),"")))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IFERROR(INDEX(Datos!$A$2:$K$102,Formulas!J165,Formulas!K165+2),"")))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IFERROR(INDEX(Datos!$A$2:$K$102,Formulas!N164,RIGHT(Formulas!P164)+2),"")))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IFERROR(INDEX(Datos!$A$2:$K$102,Formulas!O165,Formulas!P165+2),"")))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IFERROR(INDEX(Datos!$A$2:$K$102,Formulas!S164,RIGHT(Formulas!U164)+2),"")))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IFERROR(INDEX(Datos!$A$2:$K$102,Formulas!T165,Formulas!U165+2),"")))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IFERROR(INDEX(Datos!$A$2:$K$102,Formulas!X164,RIGHT(Formulas!Z164)+2),"")))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IFERROR(INDEX(Datos!$A$2:$K$102,Formulas!Y165,Formulas!Z165+2),"")))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IFERROR(INDEX(Datos!$A$2:$K$102,Formulas!AC164,RIGHT(Formulas!AE164)+2),"")))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IFERROR(INDEX(Datos!$A$2:$K$102,Formulas!AD165,Formulas!AE165+2),"")))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IFERROR(INDEX(Datos!$A$2:$K$102,Formulas!AH164,RIGHT(Formulas!AJ164)+2),"")))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IFERROR(INDEX(Datos!$A$2:$K$102,Formulas!AI165,Formulas!AJ165+2),"")))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IFERROR(INDEX(Datos!$A$2:$K$102,Formulas!AM164,RIGHT(Formulas!AO164)+2),"")))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IFERROR(INDEX(Datos!$A$2:$K$102,Formulas!AN165,Formulas!AO165+2),"")))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IFERROR(INDEX(Datos!$A$2:$K$102,Formulas!AR164,RIGHT(Formulas!AT164)+2),"")))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IFERROR(INDEX(Datos!$A$2:$K$102,Formulas!AS165,Formulas!AT165+2),"")))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IFERROR(INDEX(Datos!$A$2:$K$102,Formulas!AW164,RIGHT(Formulas!AY164)+2),"")))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IFERROR(INDEX(Datos!$A$2:$K$102,Formulas!AX165,Formulas!AY165+2),"")))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IFERROR(INDEX(Datos!$A$2:$K$102,Formulas!D165,RIGHT(Formulas!F165)+2),"")))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IFERROR(INDEX(Datos!$A$2:$K$102,Formulas!E166,Formulas!F166+2),"")))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IFERROR(INDEX(Datos!$A$2:$K$102,Formulas!I165,RIGHT(Formulas!K165)+2),"")))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IFERROR(INDEX(Datos!$A$2:$K$102,Formulas!J166,Formulas!K166+2),"")))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IFERROR(INDEX(Datos!$A$2:$K$102,Formulas!N165,RIGHT(Formulas!P165)+2),"")))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IFERROR(INDEX(Datos!$A$2:$K$102,Formulas!O166,Formulas!P166+2),"")))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40: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IFERROR(INDEX(Datos!$A$2:$K$102,Formulas!S165,RIGHT(Formulas!U165)+2),"")))</f>
        <v>REQ005 Modificación de contratos.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IFERROR(INDEX(Datos!$A$2:$K$102,Formulas!T166,Formulas!U166+2),"")))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IFERROR(INDEX(Datos!$A$2:$K$102,Formulas!X165,RIGHT(Formulas!Z165)+2),"")))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IFERROR(INDEX(Datos!$A$2:$K$102,Formulas!Y166,Formulas!Z166+2),"")))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IFERROR(INDEX(Datos!$A$2:$K$102,Formulas!AC165,RIGHT(Formulas!AE165)+2),"")))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IFERROR(INDEX(Datos!$A$2:$K$102,Formulas!AD166,Formulas!AE166+2),"")))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IFERROR(INDEX(Datos!$A$2:$K$102,Formulas!AH165,RIGHT(Formulas!AJ165)+2),"")))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IFERROR(INDEX(Datos!$A$2:$K$102,Formulas!AI166,Formulas!AJ166+2),"")))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IFERROR(INDEX(Datos!$A$2:$K$102,Formulas!AM165,RIGHT(Formulas!AO165)+2),"")))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IFERROR(INDEX(Datos!$A$2:$K$102,Formulas!AN166,Formulas!AO166+2),"")))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IFERROR(INDEX(Datos!$A$2:$K$102,Formulas!AR165,RIGHT(Formulas!AT165)+2),"")))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IFERROR(INDEX(Datos!$A$2:$K$102,Formulas!AS166,Formulas!AT166+2),"")))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IFERROR(INDEX(Datos!$A$2:$K$102,Formulas!AW165,RIGHT(Formulas!AY165)+2),"")))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IFERROR(INDEX(Datos!$A$2:$K$102,Formulas!AX166,Formulas!AY166+2),"")))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IFERROR(INDEX(Datos!$A$2:$K$102,Formulas!D166,RIGHT(Formulas!F166)+2),"")))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IFERROR(INDEX(Datos!$A$2:$K$102,Formulas!E167,Formulas!F167+2),"")))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IFERROR(INDEX(Datos!$A$2:$K$102,Formulas!I166,RIGHT(Formulas!K166)+2),"")))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IFERROR(INDEX(Datos!$A$2:$K$102,Formulas!J167,Formulas!K167+2),"")))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IFERROR(INDEX(Datos!$A$2:$K$102,Formulas!N166,RIGHT(Formulas!P166)+2),"")))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IFERROR(INDEX(Datos!$A$2:$K$102,Formulas!O167,Formulas!P167+2),"")))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IFERROR(INDEX(Datos!$A$2:$K$102,Formulas!S166,RIGHT(Formulas!U166)+2),"")))</f>
        <v>Editar contratos registrados con control de versiones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IFERROR(INDEX(Datos!$A$2:$K$102,Formulas!T167,Formulas!U167+2),"")))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IFERROR(INDEX(Datos!$A$2:$K$102,Formulas!X166,RIGHT(Formulas!Z166)+2),"")))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IFERROR(INDEX(Datos!$A$2:$K$102,Formulas!Y167,Formulas!Z167+2),"")))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IFERROR(INDEX(Datos!$A$2:$K$102,Formulas!AC166,RIGHT(Formulas!AE166)+2),"")))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IFERROR(INDEX(Datos!$A$2:$K$102,Formulas!AD167,Formulas!AE167+2),"")))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IFERROR(INDEX(Datos!$A$2:$K$102,Formulas!AH166,RIGHT(Formulas!AJ166)+2),"")))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IFERROR(INDEX(Datos!$A$2:$K$102,Formulas!AI167,Formulas!AJ167+2),"")))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IFERROR(INDEX(Datos!$A$2:$K$102,Formulas!AM166,RIGHT(Formulas!AO166)+2),"")))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IFERROR(INDEX(Datos!$A$2:$K$102,Formulas!AN167,Formulas!AO167+2),"")))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IFERROR(INDEX(Datos!$A$2:$K$102,Formulas!AR166,RIGHT(Formulas!AT166)+2),"")))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IFERROR(INDEX(Datos!$A$2:$K$102,Formulas!AS167,Formulas!AT167+2),"")))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IFERROR(INDEX(Datos!$A$2:$K$102,Formulas!AW166,RIGHT(Formulas!AY166)+2),"")))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IFERROR(INDEX(Datos!$A$2:$K$102,Formulas!AX167,Formulas!AY167+2),"")))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IFERROR(INDEX(Datos!$A$2:$K$102,Formulas!D167,RIGHT(Formulas!F167)+2),"")))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IFERROR(INDEX(Datos!$A$2:$K$102,Formulas!E168,Formulas!F168+2),"")))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IFERROR(INDEX(Datos!$A$2:$K$102,Formulas!I167,RIGHT(Formulas!K167)+2),"")))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IFERROR(INDEX(Datos!$A$2:$K$102,Formulas!J168,Formulas!K168+2),"")))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IFERROR(INDEX(Datos!$A$2:$K$102,Formulas!N167,RIGHT(Formulas!P167)+2),"")))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IFERROR(INDEX(Datos!$A$2:$K$102,Formulas!O168,Formulas!P168+2),"")))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IFERROR(INDEX(Datos!$A$2:$K$102,Formulas!S167,RIGHT(Formulas!U167)+2),"")))</f>
        <v>45851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IFERROR(INDEX(Datos!$A$2:$K$102,Formulas!T168,Formulas!U168+2),"")))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IFERROR(INDEX(Datos!$A$2:$K$102,Formulas!X167,RIGHT(Formulas!Z167)+2),"")))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IFERROR(INDEX(Datos!$A$2:$K$102,Formulas!Y168,Formulas!Z168+2),"")))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IFERROR(INDEX(Datos!$A$2:$K$102,Formulas!AC167,RIGHT(Formulas!AE167)+2),"")))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IFERROR(INDEX(Datos!$A$2:$K$102,Formulas!AD168,Formulas!AE168+2),"")))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IFERROR(INDEX(Datos!$A$2:$K$102,Formulas!AH167,RIGHT(Formulas!AJ167)+2),"")))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IFERROR(INDEX(Datos!$A$2:$K$102,Formulas!AI168,Formulas!AJ168+2),"")))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IFERROR(INDEX(Datos!$A$2:$K$102,Formulas!AM167,RIGHT(Formulas!AO167)+2),"")))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IFERROR(INDEX(Datos!$A$2:$K$102,Formulas!AN168,Formulas!AO168+2),"")))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IFERROR(INDEX(Datos!$A$2:$K$102,Formulas!AR167,RIGHT(Formulas!AT167)+2),"")))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IFERROR(INDEX(Datos!$A$2:$K$102,Formulas!AS168,Formulas!AT168+2),"")))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IFERROR(INDEX(Datos!$A$2:$K$102,Formulas!AW167,RIGHT(Formulas!AY167)+2),"")))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IFERROR(INDEX(Datos!$A$2:$K$102,Formulas!AX168,Formulas!AY168+2),"")))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IFERROR(INDEX(Datos!$A$2:$K$102,Formulas!D168,RIGHT(Formulas!F168)+2),"")))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IFERROR(INDEX(Datos!$A$2:$K$102,Formulas!E169,Formulas!F169+2),"")))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IFERROR(INDEX(Datos!$A$2:$K$102,Formulas!I168,RIGHT(Formulas!K168)+2),"")))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IFERROR(INDEX(Datos!$A$2:$K$102,Formulas!J169,Formulas!K169+2),"")))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IFERROR(INDEX(Datos!$A$2:$K$102,Formulas!N168,RIGHT(Formulas!P168)+2),"")))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IFERROR(INDEX(Datos!$A$2:$K$102,Formulas!O169,Formulas!P169+2),"")))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IFERROR(INDEX(Datos!$A$2:$K$102,Formulas!S168,RIGHT(Formulas!U168)+2),"")))</f>
        <v>45863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IFERROR(INDEX(Datos!$A$2:$K$102,Formulas!T169,Formulas!U169+2),"")))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IFERROR(INDEX(Datos!$A$2:$K$102,Formulas!X168,RIGHT(Formulas!Z168)+2),"")))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IFERROR(INDEX(Datos!$A$2:$K$102,Formulas!Y169,Formulas!Z169+2),"")))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IFERROR(INDEX(Datos!$A$2:$K$102,Formulas!AC168,RIGHT(Formulas!AE168)+2),"")))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IFERROR(INDEX(Datos!$A$2:$K$102,Formulas!AD169,Formulas!AE169+2),"")))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IFERROR(INDEX(Datos!$A$2:$K$102,Formulas!AH168,RIGHT(Formulas!AJ168)+2),"")))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IFERROR(INDEX(Datos!$A$2:$K$102,Formulas!AI169,Formulas!AJ169+2),"")))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IFERROR(INDEX(Datos!$A$2:$K$102,Formulas!AM168,RIGHT(Formulas!AO168)+2),"")))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IFERROR(INDEX(Datos!$A$2:$K$102,Formulas!AN169,Formulas!AO169+2),"")))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IFERROR(INDEX(Datos!$A$2:$K$102,Formulas!AR168,RIGHT(Formulas!AT168)+2),"")))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IFERROR(INDEX(Datos!$A$2:$K$102,Formulas!AS169,Formulas!AT169+2),"")))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IFERROR(INDEX(Datos!$A$2:$K$102,Formulas!AW168,RIGHT(Formulas!AY168)+2),"")))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IFERROR(INDEX(Datos!$A$2:$K$102,Formulas!AX169,Formulas!AY169+2),"")))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IFERROR(INDEX(Datos!$A$2:$K$102,Formulas!D169,RIGHT(Formulas!F169)+2),"")))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IFERROR(INDEX(Datos!$A$2:$K$102,Formulas!E170,Formulas!F170+2),"")))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IFERROR(INDEX(Datos!$A$2:$K$102,Formulas!I169,RIGHT(Formulas!K169)+2),"")))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IFERROR(INDEX(Datos!$A$2:$K$102,Formulas!J170,Formulas!K170+2),"")))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IFERROR(INDEX(Datos!$A$2:$K$102,Formulas!N169,RIGHT(Formulas!P169)+2),"")))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IFERROR(INDEX(Datos!$A$2:$K$102,Formulas!O170,Formulas!P170+2),"")))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IFERROR(INDEX(Datos!$A$2:$K$102,Formulas!S169,RIGHT(Formulas!U169)+2),"")))</f>
        <v>45863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IFERROR(INDEX(Datos!$A$2:$K$102,Formulas!T170,Formulas!U170+2),"")))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IFERROR(INDEX(Datos!$A$2:$K$102,Formulas!X169,RIGHT(Formulas!Z169)+2),"")))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IFERROR(INDEX(Datos!$A$2:$K$102,Formulas!Y170,Formulas!Z170+2),"")))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IFERROR(INDEX(Datos!$A$2:$K$102,Formulas!AC169,RIGHT(Formulas!AE169)+2),"")))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IFERROR(INDEX(Datos!$A$2:$K$102,Formulas!AD170,Formulas!AE170+2),"")))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IFERROR(INDEX(Datos!$A$2:$K$102,Formulas!AH169,RIGHT(Formulas!AJ169)+2),"")))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IFERROR(INDEX(Datos!$A$2:$K$102,Formulas!AI170,Formulas!AJ170+2),"")))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IFERROR(INDEX(Datos!$A$2:$K$102,Formulas!AM169,RIGHT(Formulas!AO169)+2),"")))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IFERROR(INDEX(Datos!$A$2:$K$102,Formulas!AN170,Formulas!AO170+2),"")))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IFERROR(INDEX(Datos!$A$2:$K$102,Formulas!AR169,RIGHT(Formulas!AT169)+2),"")))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IFERROR(INDEX(Datos!$A$2:$K$102,Formulas!AS170,Formulas!AT170+2),"")))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IFERROR(INDEX(Datos!$A$2:$K$102,Formulas!AW169,RIGHT(Formulas!AY169)+2),"")))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IFERROR(INDEX(Datos!$A$2:$K$102,Formulas!AX170,Formulas!AY170+2),"")))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IFERROR(INDEX(Datos!$A$2:$K$102,Formulas!D170,RIGHT(Formulas!F170)+2),"")))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IFERROR(INDEX(Datos!$A$2:$K$102,Formulas!E171,Formulas!F171+2),"")))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IFERROR(INDEX(Datos!$A$2:$K$102,Formulas!I170,RIGHT(Formulas!K170)+2),"")))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IFERROR(INDEX(Datos!$A$2:$K$102,Formulas!J171,Formulas!K171+2),"")))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IFERROR(INDEX(Datos!$A$2:$K$102,Formulas!N170,RIGHT(Formulas!P170)+2),"")))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IFERROR(INDEX(Datos!$A$2:$K$102,Formulas!O171,Formulas!P171+2),"")))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IFERROR(INDEX(Datos!$A$2:$K$102,Formulas!S170,RIGHT(Formulas!U170)+2),"")))</f>
        <v>13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IFERROR(INDEX(Datos!$A$2:$K$102,Formulas!T171,Formulas!U171+2),"")))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IFERROR(INDEX(Datos!$A$2:$K$102,Formulas!X170,RIGHT(Formulas!Z170)+2),"")))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IFERROR(INDEX(Datos!$A$2:$K$102,Formulas!Y171,Formulas!Z171+2),"")))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IFERROR(INDEX(Datos!$A$2:$K$102,Formulas!AC170,RIGHT(Formulas!AE170)+2),"")))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IFERROR(INDEX(Datos!$A$2:$K$102,Formulas!AD171,Formulas!AE171+2),"")))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IFERROR(INDEX(Datos!$A$2:$K$102,Formulas!AH170,RIGHT(Formulas!AJ170)+2),"")))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IFERROR(INDEX(Datos!$A$2:$K$102,Formulas!AI171,Formulas!AJ171+2),"")))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IFERROR(INDEX(Datos!$A$2:$K$102,Formulas!AM170,RIGHT(Formulas!AO170)+2),"")))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IFERROR(INDEX(Datos!$A$2:$K$102,Formulas!AN171,Formulas!AO171+2),"")))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IFERROR(INDEX(Datos!$A$2:$K$102,Formulas!AR170,RIGHT(Formulas!AT170)+2),"")))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IFERROR(INDEX(Datos!$A$2:$K$102,Formulas!AS171,Formulas!AT171+2),"")))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IFERROR(INDEX(Datos!$A$2:$K$102,Formulas!AW170,RIGHT(Formulas!AY170)+2),"")))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IFERROR(INDEX(Datos!$A$2:$K$102,Formulas!AX171,Formulas!AY171+2),"")))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IFERROR(INDEX(Datos!$A$2:$K$102,Formulas!D171,RIGHT(Formulas!F171)+2),"")))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IFERROR(INDEX(Datos!$A$2:$K$102,Formulas!E172,Formulas!F172+2),"")))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IFERROR(INDEX(Datos!$A$2:$K$102,Formulas!I171,RIGHT(Formulas!K171)+2),"")))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IFERROR(INDEX(Datos!$A$2:$K$102,Formulas!J172,Formulas!K172+2),"")))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IFERROR(INDEX(Datos!$A$2:$K$102,Formulas!N171,RIGHT(Formulas!P171)+2),"")))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IFERROR(INDEX(Datos!$A$2:$K$102,Formulas!O172,Formulas!P172+2),"")))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IFERROR(INDEX(Datos!$A$2:$K$102,Formulas!S171,RIGHT(Formulas!U171)+2),"")))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IFERROR(INDEX(Datos!$A$2:$K$102,Formulas!T172,Formulas!U172+2),"")))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IFERROR(INDEX(Datos!$A$2:$K$102,Formulas!X171,RIGHT(Formulas!Z171)+2),"")))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IFERROR(INDEX(Datos!$A$2:$K$102,Formulas!Y172,Formulas!Z172+2),"")))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IFERROR(INDEX(Datos!$A$2:$K$102,Formulas!AC171,RIGHT(Formulas!AE171)+2),"")))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IFERROR(INDEX(Datos!$A$2:$K$102,Formulas!AD172,Formulas!AE172+2),"")))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IFERROR(INDEX(Datos!$A$2:$K$102,Formulas!AH171,RIGHT(Formulas!AJ171)+2),"")))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IFERROR(INDEX(Datos!$A$2:$K$102,Formulas!AI172,Formulas!AJ172+2),"")))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IFERROR(INDEX(Datos!$A$2:$K$102,Formulas!AM171,RIGHT(Formulas!AO171)+2),"")))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IFERROR(INDEX(Datos!$A$2:$K$102,Formulas!AN172,Formulas!AO172+2),"")))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IFERROR(INDEX(Datos!$A$2:$K$102,Formulas!AR171,RIGHT(Formulas!AT171)+2),"")))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IFERROR(INDEX(Datos!$A$2:$K$102,Formulas!AS172,Formulas!AT172+2),"")))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IFERROR(INDEX(Datos!$A$2:$K$102,Formulas!AW171,RIGHT(Formulas!AY171)+2),"")))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IFERROR(INDEX(Datos!$A$2:$K$102,Formulas!AX172,Formulas!AY172+2),"")))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IFERROR(INDEX(Datos!$A$2:$K$102,Formulas!D172,RIGHT(Formulas!F172)+2),"")))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IFERROR(INDEX(Datos!$A$2:$K$102,Formulas!E173,Formulas!F173+2),"")))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IFERROR(INDEX(Datos!$A$2:$K$102,Formulas!I172,RIGHT(Formulas!K172)+2),"")))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IFERROR(INDEX(Datos!$A$2:$K$102,Formulas!J173,Formulas!K173+2),"")))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IFERROR(INDEX(Datos!$A$2:$K$102,Formulas!N172,RIGHT(Formulas!P172)+2),"")))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IFERROR(INDEX(Datos!$A$2:$K$102,Formulas!O173,Formulas!P173+2),"")))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IFERROR(INDEX(Datos!$A$2:$K$102,Formulas!S172,RIGHT(Formulas!U172)+2),"")))</f>
        <v>Paulina Quishpe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IFERROR(INDEX(Datos!$A$2:$K$102,Formulas!T173,Formulas!U173+2),"")))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IFERROR(INDEX(Datos!$A$2:$K$102,Formulas!X172,RIGHT(Formulas!Z172)+2),"")))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IFERROR(INDEX(Datos!$A$2:$K$102,Formulas!Y173,Formulas!Z173+2),"")))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IFERROR(INDEX(Datos!$A$2:$K$102,Formulas!AC172,RIGHT(Formulas!AE172)+2),"")))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IFERROR(INDEX(Datos!$A$2:$K$102,Formulas!AD173,Formulas!AE173+2),"")))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IFERROR(INDEX(Datos!$A$2:$K$102,Formulas!AH172,RIGHT(Formulas!AJ172)+2),"")))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IFERROR(INDEX(Datos!$A$2:$K$102,Formulas!AI173,Formulas!AJ173+2),"")))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IFERROR(INDEX(Datos!$A$2:$K$102,Formulas!AM172,RIGHT(Formulas!AO172)+2),"")))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IFERROR(INDEX(Datos!$A$2:$K$102,Formulas!AN173,Formulas!AO173+2),"")))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IFERROR(INDEX(Datos!$A$2:$K$102,Formulas!AR172,RIGHT(Formulas!AT172)+2),"")))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IFERROR(INDEX(Datos!$A$2:$K$102,Formulas!AS173,Formulas!AT173+2),"")))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IFERROR(INDEX(Datos!$A$2:$K$102,Formulas!AW172,RIGHT(Formulas!AY172)+2),"")))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IFERROR(INDEX(Datos!$A$2:$K$102,Formulas!AX173,Formulas!AY173+2),"")))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IFERROR(INDEX(Datos!$A$2:$K$102,Formulas!D173,RIGHT(Formulas!F173)+2),"")))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IFERROR(INDEX(Datos!$A$2:$K$102,Formulas!E174,Formulas!F174+2),"")))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IFERROR(INDEX(Datos!$A$2:$K$102,Formulas!I173,RIGHT(Formulas!K173)+2),"")))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IFERROR(INDEX(Datos!$A$2:$K$102,Formulas!J174,Formulas!K174+2),"")))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IFERROR(INDEX(Datos!$A$2:$K$102,Formulas!N173,RIGHT(Formulas!P173)+2),"")))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IFERROR(INDEX(Datos!$A$2:$K$102,Formulas!O174,Formulas!P174+2),"")))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IFERROR(INDEX(Datos!$A$2:$K$102,Formulas!S173,RIGHT(Formulas!U173)+2),"")))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IFERROR(INDEX(Datos!$A$2:$K$102,Formulas!T174,Formulas!U174+2),"")))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IFERROR(INDEX(Datos!$A$2:$K$102,Formulas!X173,RIGHT(Formulas!Z173)+2),"")))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IFERROR(INDEX(Datos!$A$2:$K$102,Formulas!Y174,Formulas!Z174+2),"")))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IFERROR(INDEX(Datos!$A$2:$K$102,Formulas!AC173,RIGHT(Formulas!AE173)+2),"")))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IFERROR(INDEX(Datos!$A$2:$K$102,Formulas!AD174,Formulas!AE174+2),"")))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IFERROR(INDEX(Datos!$A$2:$K$102,Formulas!AH173,RIGHT(Formulas!AJ173)+2),"")))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IFERROR(INDEX(Datos!$A$2:$K$102,Formulas!AI174,Formulas!AJ174+2),"")))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IFERROR(INDEX(Datos!$A$2:$K$102,Formulas!AM173,RIGHT(Formulas!AO173)+2),"")))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IFERROR(INDEX(Datos!$A$2:$K$102,Formulas!AN174,Formulas!AO174+2),"")))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IFERROR(INDEX(Datos!$A$2:$K$102,Formulas!AR173,RIGHT(Formulas!AT173)+2),"")))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IFERROR(INDEX(Datos!$A$2:$K$102,Formulas!AS174,Formulas!AT174+2),"")))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IFERROR(INDEX(Datos!$A$2:$K$102,Formulas!AW173,RIGHT(Formulas!AY173)+2),"")))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IFERROR(INDEX(Datos!$A$2:$K$102,Formulas!AX174,Formulas!AY174+2),"")))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IFERROR(INDEX(Datos!$A$2:$K$102,Formulas!D174,RIGHT(Formulas!F174)+2),"")))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IFERROR(INDEX(Datos!$A$2:$K$102,Formulas!E175,Formulas!F175+2),"")))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IFERROR(INDEX(Datos!$A$2:$K$102,Formulas!I174,RIGHT(Formulas!K174)+2),"")))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IFERROR(INDEX(Datos!$A$2:$K$102,Formulas!J175,Formulas!K175+2),"")))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IFERROR(INDEX(Datos!$A$2:$K$102,Formulas!N174,RIGHT(Formulas!P174)+2),"")))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IFERROR(INDEX(Datos!$A$2:$K$102,Formulas!O175,Formulas!P175+2),"")))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39: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IFERROR(INDEX(Datos!$A$2:$K$102,Formulas!S174,RIGHT(Formulas!U174)+2),"")))</f>
        <v xml:space="preserve">REQ004-3 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IFERROR(INDEX(Datos!$A$2:$K$102,Formulas!T175,Formulas!U175+2),"")))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IFERROR(INDEX(Datos!$A$2:$K$102,Formulas!X174,RIGHT(Formulas!Z174)+2),"")))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IFERROR(INDEX(Datos!$A$2:$K$102,Formulas!Y175,Formulas!Z175+2),"")))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IFERROR(INDEX(Datos!$A$2:$K$102,Formulas!AC174,RIGHT(Formulas!AE174)+2),"")))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IFERROR(INDEX(Datos!$A$2:$K$102,Formulas!AD175,Formulas!AE175+2),"")))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IFERROR(INDEX(Datos!$A$2:$K$102,Formulas!AH174,RIGHT(Formulas!AJ174)+2),"")))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IFERROR(INDEX(Datos!$A$2:$K$102,Formulas!AI175,Formulas!AJ175+2),"")))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IFERROR(INDEX(Datos!$A$2:$K$102,Formulas!AM174,RIGHT(Formulas!AO174)+2),"")))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IFERROR(INDEX(Datos!$A$2:$K$102,Formulas!AN175,Formulas!AO175+2),"")))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IFERROR(INDEX(Datos!$A$2:$K$102,Formulas!AR174,RIGHT(Formulas!AT174)+2),"")))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IFERROR(INDEX(Datos!$A$2:$K$102,Formulas!AS175,Formulas!AT175+2),"")))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IFERROR(INDEX(Datos!$A$2:$K$102,Formulas!AW174,RIGHT(Formulas!AY174)+2),"")))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IFERROR(INDEX(Datos!$A$2:$K$102,Formulas!AX175,Formulas!AY175+2),"")))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IFERROR(INDEX(Datos!$A$2:$K$102,Formulas!D175,RIGHT(Formulas!F175)+2),"")))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IFERROR(INDEX(Datos!$A$2:$K$102,Formulas!E176,Formulas!F176+2),"")))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IFERROR(INDEX(Datos!$A$2:$K$102,Formulas!I175,RIGHT(Formulas!K175)+2),"")))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IFERROR(INDEX(Datos!$A$2:$K$102,Formulas!J176,Formulas!K176+2),"")))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IFERROR(INDEX(Datos!$A$2:$K$102,Formulas!N175,RIGHT(Formulas!P175)+2),"")))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IFERROR(INDEX(Datos!$A$2:$K$102,Formulas!O176,Formulas!P176+2),"")))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IFERROR(INDEX(Datos!$A$2:$K$102,Formulas!S175,RIGHT(Formulas!U175)+2),"")))</f>
        <v>Desarrollar la lógica de backend para filtrar y mostrar los contratos de fideicomisos que coincidan con los datos ingresados.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IFERROR(INDEX(Datos!$A$2:$K$102,Formulas!T176,Formulas!U176+2),"")))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IFERROR(INDEX(Datos!$A$2:$K$102,Formulas!X175,RIGHT(Formulas!Z175)+2),"")))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IFERROR(INDEX(Datos!$A$2:$K$102,Formulas!Y176,Formulas!Z176+2),"")))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IFERROR(INDEX(Datos!$A$2:$K$102,Formulas!AC175,RIGHT(Formulas!AE175)+2),"")))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IFERROR(INDEX(Datos!$A$2:$K$102,Formulas!AD176,Formulas!AE176+2),"")))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IFERROR(INDEX(Datos!$A$2:$K$102,Formulas!AH175,RIGHT(Formulas!AJ175)+2),"")))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IFERROR(INDEX(Datos!$A$2:$K$102,Formulas!AI176,Formulas!AJ176+2),"")))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IFERROR(INDEX(Datos!$A$2:$K$102,Formulas!AM175,RIGHT(Formulas!AO175)+2),"")))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IFERROR(INDEX(Datos!$A$2:$K$102,Formulas!AN176,Formulas!AO176+2),"")))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IFERROR(INDEX(Datos!$A$2:$K$102,Formulas!AR175,RIGHT(Formulas!AT175)+2),"")))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IFERROR(INDEX(Datos!$A$2:$K$102,Formulas!AS176,Formulas!AT176+2),"")))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IFERROR(INDEX(Datos!$A$2:$K$102,Formulas!AW175,RIGHT(Formulas!AY175)+2),"")))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IFERROR(INDEX(Datos!$A$2:$K$102,Formulas!AX176,Formulas!AY176+2),"")))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IFERROR(INDEX(Datos!$A$2:$K$102,Formulas!D176,RIGHT(Formulas!F176)+2),"")))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IFERROR(INDEX(Datos!$A$2:$K$102,Formulas!E177,Formulas!F177+2),"")))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IFERROR(INDEX(Datos!$A$2:$K$102,Formulas!I176,RIGHT(Formulas!K176)+2),"")))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IFERROR(INDEX(Datos!$A$2:$K$102,Formulas!J177,Formulas!K177+2),"")))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IFERROR(INDEX(Datos!$A$2:$K$102,Formulas!N176,RIGHT(Formulas!P176)+2),"")))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IFERROR(INDEX(Datos!$A$2:$K$102,Formulas!O177,Formulas!P177+2),"")))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IFERROR(INDEX(Datos!$A$2:$K$102,Formulas!S176,RIGHT(Formulas!U176)+2),"")))</f>
        <v>45849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IFERROR(INDEX(Datos!$A$2:$K$102,Formulas!T177,Formulas!U177+2),"")))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IFERROR(INDEX(Datos!$A$2:$K$102,Formulas!X176,RIGHT(Formulas!Z176)+2),"")))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IFERROR(INDEX(Datos!$A$2:$K$102,Formulas!Y177,Formulas!Z177+2),"")))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IFERROR(INDEX(Datos!$A$2:$K$102,Formulas!AC176,RIGHT(Formulas!AE176)+2),"")))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IFERROR(INDEX(Datos!$A$2:$K$102,Formulas!AD177,Formulas!AE177+2),"")))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IFERROR(INDEX(Datos!$A$2:$K$102,Formulas!AH176,RIGHT(Formulas!AJ176)+2),"")))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IFERROR(INDEX(Datos!$A$2:$K$102,Formulas!AI177,Formulas!AJ177+2),"")))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IFERROR(INDEX(Datos!$A$2:$K$102,Formulas!AM176,RIGHT(Formulas!AO176)+2),"")))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IFERROR(INDEX(Datos!$A$2:$K$102,Formulas!AN177,Formulas!AO177+2),"")))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IFERROR(INDEX(Datos!$A$2:$K$102,Formulas!AR176,RIGHT(Formulas!AT176)+2),"")))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IFERROR(INDEX(Datos!$A$2:$K$102,Formulas!AS177,Formulas!AT177+2),"")))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IFERROR(INDEX(Datos!$A$2:$K$102,Formulas!AW176,RIGHT(Formulas!AY176)+2),"")))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IFERROR(INDEX(Datos!$A$2:$K$102,Formulas!AX177,Formulas!AY177+2),"")))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IFERROR(INDEX(Datos!$A$2:$K$102,Formulas!D177,RIGHT(Formulas!F177)+2),"")))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IFERROR(INDEX(Datos!$A$2:$K$102,Formulas!E178,Formulas!F178+2),"")))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IFERROR(INDEX(Datos!$A$2:$K$102,Formulas!I177,RIGHT(Formulas!K177)+2),"")))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IFERROR(INDEX(Datos!$A$2:$K$102,Formulas!J178,Formulas!K178+2),"")))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IFERROR(INDEX(Datos!$A$2:$K$102,Formulas!N177,RIGHT(Formulas!P177)+2),"")))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IFERROR(INDEX(Datos!$A$2:$K$102,Formulas!O178,Formulas!P178+2),"")))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IFERROR(INDEX(Datos!$A$2:$K$102,Formulas!S177,RIGHT(Formulas!U177)+2),"")))</f>
        <v>45850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IFERROR(INDEX(Datos!$A$2:$K$102,Formulas!T178,Formulas!U178+2),"")))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IFERROR(INDEX(Datos!$A$2:$K$102,Formulas!X177,RIGHT(Formulas!Z177)+2),"")))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IFERROR(INDEX(Datos!$A$2:$K$102,Formulas!Y178,Formulas!Z178+2),"")))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IFERROR(INDEX(Datos!$A$2:$K$102,Formulas!AC177,RIGHT(Formulas!AE177)+2),"")))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IFERROR(INDEX(Datos!$A$2:$K$102,Formulas!AD178,Formulas!AE178+2),"")))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IFERROR(INDEX(Datos!$A$2:$K$102,Formulas!AH177,RIGHT(Formulas!AJ177)+2),"")))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IFERROR(INDEX(Datos!$A$2:$K$102,Formulas!AI178,Formulas!AJ178+2),"")))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IFERROR(INDEX(Datos!$A$2:$K$102,Formulas!AM177,RIGHT(Formulas!AO177)+2),"")))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IFERROR(INDEX(Datos!$A$2:$K$102,Formulas!AN178,Formulas!AO178+2),"")))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IFERROR(INDEX(Datos!$A$2:$K$102,Formulas!AR177,RIGHT(Formulas!AT177)+2),"")))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IFERROR(INDEX(Datos!$A$2:$K$102,Formulas!AS178,Formulas!AT178+2),"")))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IFERROR(INDEX(Datos!$A$2:$K$102,Formulas!AW177,RIGHT(Formulas!AY177)+2),"")))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IFERROR(INDEX(Datos!$A$2:$K$102,Formulas!AX178,Formulas!AY178+2),"")))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IFERROR(INDEX(Datos!$A$2:$K$102,Formulas!D178,RIGHT(Formulas!F178)+2),"")))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IFERROR(INDEX(Datos!$A$2:$K$102,Formulas!E179,Formulas!F179+2),"")))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IFERROR(INDEX(Datos!$A$2:$K$102,Formulas!I178,RIGHT(Formulas!K178)+2),"")))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IFERROR(INDEX(Datos!$A$2:$K$102,Formulas!J179,Formulas!K179+2),"")))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IFERROR(INDEX(Datos!$A$2:$K$102,Formulas!N178,RIGHT(Formulas!P178)+2),"")))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IFERROR(INDEX(Datos!$A$2:$K$102,Formulas!O179,Formulas!P179+2),"")))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IFERROR(INDEX(Datos!$A$2:$K$102,Formulas!S178,RIGHT(Formulas!U178)+2),"")))</f>
        <v>45850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IFERROR(INDEX(Datos!$A$2:$K$102,Formulas!T179,Formulas!U179+2),"")))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IFERROR(INDEX(Datos!$A$2:$K$102,Formulas!X178,RIGHT(Formulas!Z178)+2),"")))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IFERROR(INDEX(Datos!$A$2:$K$102,Formulas!Y179,Formulas!Z179+2),"")))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IFERROR(INDEX(Datos!$A$2:$K$102,Formulas!AC178,RIGHT(Formulas!AE178)+2),"")))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IFERROR(INDEX(Datos!$A$2:$K$102,Formulas!AD179,Formulas!AE179+2),"")))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IFERROR(INDEX(Datos!$A$2:$K$102,Formulas!AH178,RIGHT(Formulas!AJ178)+2),"")))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IFERROR(INDEX(Datos!$A$2:$K$102,Formulas!AI179,Formulas!AJ179+2),"")))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IFERROR(INDEX(Datos!$A$2:$K$102,Formulas!AM178,RIGHT(Formulas!AO178)+2),"")))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IFERROR(INDEX(Datos!$A$2:$K$102,Formulas!AN179,Formulas!AO179+2),"")))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IFERROR(INDEX(Datos!$A$2:$K$102,Formulas!AR178,RIGHT(Formulas!AT178)+2),"")))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IFERROR(INDEX(Datos!$A$2:$K$102,Formulas!AS179,Formulas!AT179+2),"")))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IFERROR(INDEX(Datos!$A$2:$K$102,Formulas!AW178,RIGHT(Formulas!AY178)+2),"")))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IFERROR(INDEX(Datos!$A$2:$K$102,Formulas!AX179,Formulas!AY179+2),"")))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IFERROR(INDEX(Datos!$A$2:$K$102,Formulas!D179,RIGHT(Formulas!F179)+2),"")))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IFERROR(INDEX(Datos!$A$2:$K$102,Formulas!E180,Formulas!F180+2),"")))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IFERROR(INDEX(Datos!$A$2:$K$102,Formulas!I179,RIGHT(Formulas!K179)+2),"")))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IFERROR(INDEX(Datos!$A$2:$K$102,Formulas!J180,Formulas!K180+2),"")))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IFERROR(INDEX(Datos!$A$2:$K$102,Formulas!N179,RIGHT(Formulas!P179)+2),"")))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IFERROR(INDEX(Datos!$A$2:$K$102,Formulas!O180,Formulas!P180+2),"")))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IFERROR(INDEX(Datos!$A$2:$K$102,Formulas!S179,RIGHT(Formulas!U179)+2),"")))</f>
        <v>2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IFERROR(INDEX(Datos!$A$2:$K$102,Formulas!T180,Formulas!U180+2),"")))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IFERROR(INDEX(Datos!$A$2:$K$102,Formulas!X179,RIGHT(Formulas!Z179)+2),"")))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IFERROR(INDEX(Datos!$A$2:$K$102,Formulas!Y180,Formulas!Z180+2),"")))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IFERROR(INDEX(Datos!$A$2:$K$102,Formulas!AC179,RIGHT(Formulas!AE179)+2),"")))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IFERROR(INDEX(Datos!$A$2:$K$102,Formulas!AD180,Formulas!AE180+2),"")))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IFERROR(INDEX(Datos!$A$2:$K$102,Formulas!AH179,RIGHT(Formulas!AJ179)+2),"")))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IFERROR(INDEX(Datos!$A$2:$K$102,Formulas!AI180,Formulas!AJ180+2),"")))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IFERROR(INDEX(Datos!$A$2:$K$102,Formulas!AM179,RIGHT(Formulas!AO179)+2),"")))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IFERROR(INDEX(Datos!$A$2:$K$102,Formulas!AN180,Formulas!AO180+2),"")))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IFERROR(INDEX(Datos!$A$2:$K$102,Formulas!AR179,RIGHT(Formulas!AT179)+2),"")))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IFERROR(INDEX(Datos!$A$2:$K$102,Formulas!AS180,Formulas!AT180+2),"")))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IFERROR(INDEX(Datos!$A$2:$K$102,Formulas!AW179,RIGHT(Formulas!AY179)+2),"")))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IFERROR(INDEX(Datos!$A$2:$K$102,Formulas!AX180,Formulas!AY180+2),"")))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IFERROR(INDEX(Datos!$A$2:$K$102,Formulas!D180,RIGHT(Formulas!F180)+2),"")))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IFERROR(INDEX(Datos!$A$2:$K$102,Formulas!E181,Formulas!F181+2),"")))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IFERROR(INDEX(Datos!$A$2:$K$102,Formulas!I180,RIGHT(Formulas!K180)+2),"")))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IFERROR(INDEX(Datos!$A$2:$K$102,Formulas!J181,Formulas!K181+2),"")))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IFERROR(INDEX(Datos!$A$2:$K$102,Formulas!N180,RIGHT(Formulas!P180)+2),"")))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IFERROR(INDEX(Datos!$A$2:$K$102,Formulas!O181,Formulas!P181+2),"")))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IFERROR(INDEX(Datos!$A$2:$K$102,Formulas!S180,RIGHT(Formulas!U180)+2),"")))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IFERROR(INDEX(Datos!$A$2:$K$102,Formulas!T181,Formulas!U181+2),"")))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IFERROR(INDEX(Datos!$A$2:$K$102,Formulas!X180,RIGHT(Formulas!Z180)+2),"")))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IFERROR(INDEX(Datos!$A$2:$K$102,Formulas!Y181,Formulas!Z181+2),"")))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IFERROR(INDEX(Datos!$A$2:$K$102,Formulas!AC180,RIGHT(Formulas!AE180)+2),"")))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IFERROR(INDEX(Datos!$A$2:$K$102,Formulas!AD181,Formulas!AE181+2),"")))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IFERROR(INDEX(Datos!$A$2:$K$102,Formulas!AH180,RIGHT(Formulas!AJ180)+2),"")))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IFERROR(INDEX(Datos!$A$2:$K$102,Formulas!AI181,Formulas!AJ181+2),"")))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IFERROR(INDEX(Datos!$A$2:$K$102,Formulas!AM180,RIGHT(Formulas!AO180)+2),"")))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IFERROR(INDEX(Datos!$A$2:$K$102,Formulas!AN181,Formulas!AO181+2),"")))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IFERROR(INDEX(Datos!$A$2:$K$102,Formulas!AR180,RIGHT(Formulas!AT180)+2),"")))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IFERROR(INDEX(Datos!$A$2:$K$102,Formulas!AS181,Formulas!AT181+2),"")))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IFERROR(INDEX(Datos!$A$2:$K$102,Formulas!AW180,RIGHT(Formulas!AY180)+2),"")))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IFERROR(INDEX(Datos!$A$2:$K$102,Formulas!AX181,Formulas!AY181+2),"")))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IFERROR(INDEX(Datos!$A$2:$K$102,Formulas!D181,RIGHT(Formulas!F181)+2),"")))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IFERROR(INDEX(Datos!$A$2:$K$102,Formulas!E182,Formulas!F182+2),"")))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IFERROR(INDEX(Datos!$A$2:$K$102,Formulas!I181,RIGHT(Formulas!K181)+2),"")))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IFERROR(INDEX(Datos!$A$2:$K$102,Formulas!J182,Formulas!K182+2),"")))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IFERROR(INDEX(Datos!$A$2:$K$102,Formulas!N181,RIGHT(Formulas!P181)+2),"")))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IFERROR(INDEX(Datos!$A$2:$K$102,Formulas!O182,Formulas!P182+2),"")))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IFERROR(INDEX(Datos!$A$2:$K$102,Formulas!S181,RIGHT(Formulas!U181)+2),"")))</f>
        <v>Paulina Quishpe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IFERROR(INDEX(Datos!$A$2:$K$102,Formulas!T182,Formulas!U182+2),"")))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IFERROR(INDEX(Datos!$A$2:$K$102,Formulas!X181,RIGHT(Formulas!Z181)+2),"")))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IFERROR(INDEX(Datos!$A$2:$K$102,Formulas!Y182,Formulas!Z182+2),"")))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IFERROR(INDEX(Datos!$A$2:$K$102,Formulas!AC181,RIGHT(Formulas!AE181)+2),"")))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IFERROR(INDEX(Datos!$A$2:$K$102,Formulas!AD182,Formulas!AE182+2),"")))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IFERROR(INDEX(Datos!$A$2:$K$102,Formulas!AH181,RIGHT(Formulas!AJ181)+2),"")))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IFERROR(INDEX(Datos!$A$2:$K$102,Formulas!AI182,Formulas!AJ182+2),"")))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IFERROR(INDEX(Datos!$A$2:$K$102,Formulas!AM181,RIGHT(Formulas!AO181)+2),"")))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IFERROR(INDEX(Datos!$A$2:$K$102,Formulas!AN182,Formulas!AO182+2),"")))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IFERROR(INDEX(Datos!$A$2:$K$102,Formulas!AR181,RIGHT(Formulas!AT181)+2),"")))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IFERROR(INDEX(Datos!$A$2:$K$102,Formulas!AS182,Formulas!AT182+2),"")))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IFERROR(INDEX(Datos!$A$2:$K$102,Formulas!AW181,RIGHT(Formulas!AY181)+2),"")))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IFERROR(INDEX(Datos!$A$2:$K$102,Formulas!AX182,Formulas!AY182+2),"")))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IFERROR(INDEX(Datos!$A$2:$K$102,Formulas!D182,RIGHT(Formulas!F182)+2),"")))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IFERROR(INDEX(Datos!$A$2:$K$102,Formulas!E183,Formulas!F183+2),"")))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IFERROR(INDEX(Datos!$A$2:$K$102,Formulas!I182,RIGHT(Formulas!K182)+2),"")))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IFERROR(INDEX(Datos!$A$2:$K$102,Formulas!J183,Formulas!K183+2),"")))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IFERROR(INDEX(Datos!$A$2:$K$102,Formulas!N182,RIGHT(Formulas!P182)+2),"")))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IFERROR(INDEX(Datos!$A$2:$K$102,Formulas!O183,Formulas!P183+2),"")))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IFERROR(INDEX(Datos!$A$2:$K$102,Formulas!S182,RIGHT(Formulas!U182)+2),"")))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IFERROR(INDEX(Datos!$A$2:$K$102,Formulas!T183,Formulas!U183+2),"")))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IFERROR(INDEX(Datos!$A$2:$K$102,Formulas!X182,RIGHT(Formulas!Z182)+2),"")))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IFERROR(INDEX(Datos!$A$2:$K$102,Formulas!Y183,Formulas!Z183+2),"")))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IFERROR(INDEX(Datos!$A$2:$K$102,Formulas!AC182,RIGHT(Formulas!AE182)+2),"")))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IFERROR(INDEX(Datos!$A$2:$K$102,Formulas!AD183,Formulas!AE183+2),"")))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IFERROR(INDEX(Datos!$A$2:$K$102,Formulas!AH182,RIGHT(Formulas!AJ182)+2),"")))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IFERROR(INDEX(Datos!$A$2:$K$102,Formulas!AI183,Formulas!AJ183+2),"")))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IFERROR(INDEX(Datos!$A$2:$K$102,Formulas!AM182,RIGHT(Formulas!AO182)+2),"")))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IFERROR(INDEX(Datos!$A$2:$K$102,Formulas!AN183,Formulas!AO183+2),"")))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IFERROR(INDEX(Datos!$A$2:$K$102,Formulas!AR182,RIGHT(Formulas!AT182)+2),"")))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IFERROR(INDEX(Datos!$A$2:$K$102,Formulas!AS183,Formulas!AT183+2),"")))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IFERROR(INDEX(Datos!$A$2:$K$102,Formulas!AW182,RIGHT(Formulas!AY182)+2),"")))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IFERROR(INDEX(Datos!$A$2:$K$102,Formulas!AX183,Formulas!AY183+2),"")))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IFERROR(INDEX(Datos!$A$2:$K$102,Formulas!D183,RIGHT(Formulas!F183)+2),"")))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IFERROR(INDEX(Datos!$A$2:$K$102,Formulas!E184,Formulas!F184+2),"")))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IFERROR(INDEX(Datos!$A$2:$K$102,Formulas!I183,RIGHT(Formulas!K183)+2),"")))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IFERROR(INDEX(Datos!$A$2:$K$102,Formulas!J184,Formulas!K184+2),"")))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IFERROR(INDEX(Datos!$A$2:$K$102,Formulas!N183,RIGHT(Formulas!P183)+2),"")))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IFERROR(INDEX(Datos!$A$2:$K$102,Formulas!O184,Formulas!P184+2),"")))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38: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IFERROR(INDEX(Datos!$A$2:$K$102,Formulas!S183,RIGHT(Formulas!U183)+2),"")))</f>
        <v xml:space="preserve">REQ004-2 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IFERROR(INDEX(Datos!$A$2:$K$102,Formulas!T184,Formulas!U184+2),"")))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IFERROR(INDEX(Datos!$A$2:$K$102,Formulas!X183,RIGHT(Formulas!Z183)+2),"")))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IFERROR(INDEX(Datos!$A$2:$K$102,Formulas!Y184,Formulas!Z184+2),"")))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IFERROR(INDEX(Datos!$A$2:$K$102,Formulas!AC183,RIGHT(Formulas!AE183)+2),"")))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IFERROR(INDEX(Datos!$A$2:$K$102,Formulas!AD184,Formulas!AE184+2),"")))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IFERROR(INDEX(Datos!$A$2:$K$102,Formulas!AH183,RIGHT(Formulas!AJ183)+2),"")))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IFERROR(INDEX(Datos!$A$2:$K$102,Formulas!AI184,Formulas!AJ184+2),"")))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IFERROR(INDEX(Datos!$A$2:$K$102,Formulas!AM183,RIGHT(Formulas!AO183)+2),"")))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IFERROR(INDEX(Datos!$A$2:$K$102,Formulas!AN184,Formulas!AO184+2),"")))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IFERROR(INDEX(Datos!$A$2:$K$102,Formulas!AR183,RIGHT(Formulas!AT183)+2),"")))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IFERROR(INDEX(Datos!$A$2:$K$102,Formulas!AS184,Formulas!AT184+2),"")))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IFERROR(INDEX(Datos!$A$2:$K$102,Formulas!AW183,RIGHT(Formulas!AY183)+2),"")))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IFERROR(INDEX(Datos!$A$2:$K$102,Formulas!AX184,Formulas!AY184+2),"")))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IFERROR(INDEX(Datos!$A$2:$K$102,Formulas!D184,RIGHT(Formulas!F184)+2),"")))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IFERROR(INDEX(Datos!$A$2:$K$102,Formulas!E185,Formulas!F185+2),"")))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IFERROR(INDEX(Datos!$A$2:$K$102,Formulas!I184,RIGHT(Formulas!K184)+2),"")))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IFERROR(INDEX(Datos!$A$2:$K$102,Formulas!J185,Formulas!K185+2),"")))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IFERROR(INDEX(Datos!$A$2:$K$102,Formulas!N184,RIGHT(Formulas!P184)+2),"")))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IFERROR(INDEX(Datos!$A$2:$K$102,Formulas!O185,Formulas!P185+2),"")))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IFERROR(INDEX(Datos!$A$2:$K$102,Formulas!S184,RIGHT(Formulas!U184)+2),"")))</f>
        <v>Diseñar e implementar la barra de búsqueda con filtros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IFERROR(INDEX(Datos!$A$2:$K$102,Formulas!T185,Formulas!U185+2),"")))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IFERROR(INDEX(Datos!$A$2:$K$102,Formulas!X184,RIGHT(Formulas!Z184)+2),"")))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IFERROR(INDEX(Datos!$A$2:$K$102,Formulas!Y185,Formulas!Z185+2),"")))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IFERROR(INDEX(Datos!$A$2:$K$102,Formulas!AC184,RIGHT(Formulas!AE184)+2),"")))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IFERROR(INDEX(Datos!$A$2:$K$102,Formulas!AD185,Formulas!AE185+2),"")))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IFERROR(INDEX(Datos!$A$2:$K$102,Formulas!AH184,RIGHT(Formulas!AJ184)+2),"")))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IFERROR(INDEX(Datos!$A$2:$K$102,Formulas!AI185,Formulas!AJ185+2),"")))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IFERROR(INDEX(Datos!$A$2:$K$102,Formulas!AM184,RIGHT(Formulas!AO184)+2),"")))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IFERROR(INDEX(Datos!$A$2:$K$102,Formulas!AN185,Formulas!AO185+2),"")))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IFERROR(INDEX(Datos!$A$2:$K$102,Formulas!AR184,RIGHT(Formulas!AT184)+2),"")))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IFERROR(INDEX(Datos!$A$2:$K$102,Formulas!AS185,Formulas!AT185+2),"")))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IFERROR(INDEX(Datos!$A$2:$K$102,Formulas!AW184,RIGHT(Formulas!AY184)+2),"")))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IFERROR(INDEX(Datos!$A$2:$K$102,Formulas!AX185,Formulas!AY185+2),"")))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IFERROR(INDEX(Datos!$A$2:$K$102,Formulas!D185,RIGHT(Formulas!F185)+2),"")))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IFERROR(INDEX(Datos!$A$2:$K$102,Formulas!E186,Formulas!F186+2),"")))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IFERROR(INDEX(Datos!$A$2:$K$102,Formulas!I185,RIGHT(Formulas!K185)+2),"")))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IFERROR(INDEX(Datos!$A$2:$K$102,Formulas!J186,Formulas!K186+2),"")))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IFERROR(INDEX(Datos!$A$2:$K$102,Formulas!N185,RIGHT(Formulas!P185)+2),"")))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IFERROR(INDEX(Datos!$A$2:$K$102,Formulas!O186,Formulas!P186+2),"")))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IFERROR(INDEX(Datos!$A$2:$K$102,Formulas!S185,RIGHT(Formulas!U185)+2),"")))</f>
        <v>45848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IFERROR(INDEX(Datos!$A$2:$K$102,Formulas!T186,Formulas!U186+2),"")))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IFERROR(INDEX(Datos!$A$2:$K$102,Formulas!X185,RIGHT(Formulas!Z185)+2),"")))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IFERROR(INDEX(Datos!$A$2:$K$102,Formulas!Y186,Formulas!Z186+2),"")))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IFERROR(INDEX(Datos!$A$2:$K$102,Formulas!AC185,RIGHT(Formulas!AE185)+2),"")))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IFERROR(INDEX(Datos!$A$2:$K$102,Formulas!AD186,Formulas!AE186+2),"")))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IFERROR(INDEX(Datos!$A$2:$K$102,Formulas!AH185,RIGHT(Formulas!AJ185)+2),"")))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IFERROR(INDEX(Datos!$A$2:$K$102,Formulas!AI186,Formulas!AJ186+2),"")))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IFERROR(INDEX(Datos!$A$2:$K$102,Formulas!AM185,RIGHT(Formulas!AO185)+2),"")))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IFERROR(INDEX(Datos!$A$2:$K$102,Formulas!AN186,Formulas!AO186+2),"")))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IFERROR(INDEX(Datos!$A$2:$K$102,Formulas!AR185,RIGHT(Formulas!AT185)+2),"")))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IFERROR(INDEX(Datos!$A$2:$K$102,Formulas!AS186,Formulas!AT186+2),"")))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IFERROR(INDEX(Datos!$A$2:$K$102,Formulas!AW185,RIGHT(Formulas!AY185)+2),"")))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IFERROR(INDEX(Datos!$A$2:$K$102,Formulas!AX186,Formulas!AY186+2),"")))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IFERROR(INDEX(Datos!$A$2:$K$102,Formulas!D186,RIGHT(Formulas!F186)+2),"")))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IFERROR(INDEX(Datos!$A$2:$K$102,Formulas!E187,Formulas!F187+2),"")))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IFERROR(INDEX(Datos!$A$2:$K$102,Formulas!I186,RIGHT(Formulas!K186)+2),"")))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IFERROR(INDEX(Datos!$A$2:$K$102,Formulas!J187,Formulas!K187+2),"")))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IFERROR(INDEX(Datos!$A$2:$K$102,Formulas!N186,RIGHT(Formulas!P186)+2),"")))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IFERROR(INDEX(Datos!$A$2:$K$102,Formulas!O187,Formulas!P187+2),"")))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IFERROR(INDEX(Datos!$A$2:$K$102,Formulas!S186,RIGHT(Formulas!U186)+2),"")))</f>
        <v>45848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IFERROR(INDEX(Datos!$A$2:$K$102,Formulas!T187,Formulas!U187+2),"")))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IFERROR(INDEX(Datos!$A$2:$K$102,Formulas!X186,RIGHT(Formulas!Z186)+2),"")))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IFERROR(INDEX(Datos!$A$2:$K$102,Formulas!Y187,Formulas!Z187+2),"")))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IFERROR(INDEX(Datos!$A$2:$K$102,Formulas!AC186,RIGHT(Formulas!AE186)+2),"")))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IFERROR(INDEX(Datos!$A$2:$K$102,Formulas!AD187,Formulas!AE187+2),"")))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IFERROR(INDEX(Datos!$A$2:$K$102,Formulas!AH186,RIGHT(Formulas!AJ186)+2),"")))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IFERROR(INDEX(Datos!$A$2:$K$102,Formulas!AI187,Formulas!AJ187+2),"")))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IFERROR(INDEX(Datos!$A$2:$K$102,Formulas!AM186,RIGHT(Formulas!AO186)+2),"")))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IFERROR(INDEX(Datos!$A$2:$K$102,Formulas!AN187,Formulas!AO187+2),"")))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IFERROR(INDEX(Datos!$A$2:$K$102,Formulas!AR186,RIGHT(Formulas!AT186)+2),"")))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IFERROR(INDEX(Datos!$A$2:$K$102,Formulas!AS187,Formulas!AT187+2),"")))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IFERROR(INDEX(Datos!$A$2:$K$102,Formulas!AW186,RIGHT(Formulas!AY186)+2),"")))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IFERROR(INDEX(Datos!$A$2:$K$102,Formulas!AX187,Formulas!AY187+2),"")))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IFERROR(INDEX(Datos!$A$2:$K$102,Formulas!D187,RIGHT(Formulas!F187)+2),"")))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IFERROR(INDEX(Datos!$A$2:$K$102,Formulas!E188,Formulas!F188+2),"")))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IFERROR(INDEX(Datos!$A$2:$K$102,Formulas!I187,RIGHT(Formulas!K187)+2),"")))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IFERROR(INDEX(Datos!$A$2:$K$102,Formulas!J188,Formulas!K188+2),"")))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IFERROR(INDEX(Datos!$A$2:$K$102,Formulas!N187,RIGHT(Formulas!P187)+2),"")))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IFERROR(INDEX(Datos!$A$2:$K$102,Formulas!O188,Formulas!P188+2),"")))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IFERROR(INDEX(Datos!$A$2:$K$102,Formulas!S187,RIGHT(Formulas!U187)+2),"")))</f>
        <v>45848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IFERROR(INDEX(Datos!$A$2:$K$102,Formulas!T188,Formulas!U188+2),"")))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IFERROR(INDEX(Datos!$A$2:$K$102,Formulas!X187,RIGHT(Formulas!Z187)+2),"")))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IFERROR(INDEX(Datos!$A$2:$K$102,Formulas!Y188,Formulas!Z188+2),"")))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IFERROR(INDEX(Datos!$A$2:$K$102,Formulas!AC187,RIGHT(Formulas!AE187)+2),"")))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IFERROR(INDEX(Datos!$A$2:$K$102,Formulas!AD188,Formulas!AE188+2),"")))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IFERROR(INDEX(Datos!$A$2:$K$102,Formulas!AH187,RIGHT(Formulas!AJ187)+2),"")))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IFERROR(INDEX(Datos!$A$2:$K$102,Formulas!AI188,Formulas!AJ188+2),"")))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IFERROR(INDEX(Datos!$A$2:$K$102,Formulas!AM187,RIGHT(Formulas!AO187)+2),"")))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IFERROR(INDEX(Datos!$A$2:$K$102,Formulas!AN188,Formulas!AO188+2),"")))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IFERROR(INDEX(Datos!$A$2:$K$102,Formulas!AR187,RIGHT(Formulas!AT187)+2),"")))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IFERROR(INDEX(Datos!$A$2:$K$102,Formulas!AS188,Formulas!AT188+2),"")))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IFERROR(INDEX(Datos!$A$2:$K$102,Formulas!AW187,RIGHT(Formulas!AY187)+2),"")))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IFERROR(INDEX(Datos!$A$2:$K$102,Formulas!AX188,Formulas!AY188+2),"")))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IFERROR(INDEX(Datos!$A$2:$K$102,Formulas!D188,RIGHT(Formulas!F188)+2),"")))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IFERROR(INDEX(Datos!$A$2:$K$102,Formulas!E189,Formulas!F189+2),"")))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IFERROR(INDEX(Datos!$A$2:$K$102,Formulas!I188,RIGHT(Formulas!K188)+2),"")))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IFERROR(INDEX(Datos!$A$2:$K$102,Formulas!J189,Formulas!K189+2),"")))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IFERROR(INDEX(Datos!$A$2:$K$102,Formulas!N188,RIGHT(Formulas!P188)+2),"")))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IFERROR(INDEX(Datos!$A$2:$K$102,Formulas!O189,Formulas!P189+2),"")))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IFERROR(INDEX(Datos!$A$2:$K$102,Formulas!S188,RIGHT(Formulas!U188)+2),"")))</f>
        <v>1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IFERROR(INDEX(Datos!$A$2:$K$102,Formulas!T189,Formulas!U189+2),"")))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IFERROR(INDEX(Datos!$A$2:$K$102,Formulas!X188,RIGHT(Formulas!Z188)+2),"")))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IFERROR(INDEX(Datos!$A$2:$K$102,Formulas!Y189,Formulas!Z189+2),"")))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IFERROR(INDEX(Datos!$A$2:$K$102,Formulas!AC188,RIGHT(Formulas!AE188)+2),"")))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IFERROR(INDEX(Datos!$A$2:$K$102,Formulas!AD189,Formulas!AE189+2),"")))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IFERROR(INDEX(Datos!$A$2:$K$102,Formulas!AH188,RIGHT(Formulas!AJ188)+2),"")))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IFERROR(INDEX(Datos!$A$2:$K$102,Formulas!AI189,Formulas!AJ189+2),"")))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IFERROR(INDEX(Datos!$A$2:$K$102,Formulas!AM188,RIGHT(Formulas!AO188)+2),"")))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IFERROR(INDEX(Datos!$A$2:$K$102,Formulas!AN189,Formulas!AO189+2),"")))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IFERROR(INDEX(Datos!$A$2:$K$102,Formulas!AR188,RIGHT(Formulas!AT188)+2),"")))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IFERROR(INDEX(Datos!$A$2:$K$102,Formulas!AS189,Formulas!AT189+2),"")))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IFERROR(INDEX(Datos!$A$2:$K$102,Formulas!AW188,RIGHT(Formulas!AY188)+2),"")))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IFERROR(INDEX(Datos!$A$2:$K$102,Formulas!AX189,Formulas!AY189+2),"")))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IFERROR(INDEX(Datos!$A$2:$K$102,Formulas!D189,RIGHT(Formulas!F189)+2),"")))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IFERROR(INDEX(Datos!$A$2:$K$102,Formulas!E190,Formulas!F190+2),"")))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IFERROR(INDEX(Datos!$A$2:$K$102,Formulas!I189,RIGHT(Formulas!K189)+2),"")))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IFERROR(INDEX(Datos!$A$2:$K$102,Formulas!J190,Formulas!K190+2),"")))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IFERROR(INDEX(Datos!$A$2:$K$102,Formulas!N189,RIGHT(Formulas!P189)+2),"")))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IFERROR(INDEX(Datos!$A$2:$K$102,Formulas!O190,Formulas!P190+2),"")))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IFERROR(INDEX(Datos!$A$2:$K$102,Formulas!S189,RIGHT(Formulas!U189)+2),"")))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IFERROR(INDEX(Datos!$A$2:$K$102,Formulas!T190,Formulas!U190+2),"")))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IFERROR(INDEX(Datos!$A$2:$K$102,Formulas!X189,RIGHT(Formulas!Z189)+2),"")))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IFERROR(INDEX(Datos!$A$2:$K$102,Formulas!Y190,Formulas!Z190+2),"")))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IFERROR(INDEX(Datos!$A$2:$K$102,Formulas!AC189,RIGHT(Formulas!AE189)+2),"")))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IFERROR(INDEX(Datos!$A$2:$K$102,Formulas!AD190,Formulas!AE190+2),"")))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IFERROR(INDEX(Datos!$A$2:$K$102,Formulas!AH189,RIGHT(Formulas!AJ189)+2),"")))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IFERROR(INDEX(Datos!$A$2:$K$102,Formulas!AI190,Formulas!AJ190+2),"")))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IFERROR(INDEX(Datos!$A$2:$K$102,Formulas!AM189,RIGHT(Formulas!AO189)+2),"")))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IFERROR(INDEX(Datos!$A$2:$K$102,Formulas!AN190,Formulas!AO190+2),"")))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IFERROR(INDEX(Datos!$A$2:$K$102,Formulas!AR189,RIGHT(Formulas!AT189)+2),"")))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IFERROR(INDEX(Datos!$A$2:$K$102,Formulas!AS190,Formulas!AT190+2),"")))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IFERROR(INDEX(Datos!$A$2:$K$102,Formulas!AW189,RIGHT(Formulas!AY189)+2),"")))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IFERROR(INDEX(Datos!$A$2:$K$102,Formulas!AX190,Formulas!AY190+2),"")))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IFERROR(INDEX(Datos!$A$2:$K$102,Formulas!D190,RIGHT(Formulas!F190)+2),"")))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IFERROR(INDEX(Datos!$A$2:$K$102,Formulas!E191,Formulas!F191+2),"")))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IFERROR(INDEX(Datos!$A$2:$K$102,Formulas!I190,RIGHT(Formulas!K190)+2),"")))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IFERROR(INDEX(Datos!$A$2:$K$102,Formulas!J191,Formulas!K191+2),"")))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IFERROR(INDEX(Datos!$A$2:$K$102,Formulas!N190,RIGHT(Formulas!P190)+2),"")))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IFERROR(INDEX(Datos!$A$2:$K$102,Formulas!O191,Formulas!P191+2),"")))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IFERROR(INDEX(Datos!$A$2:$K$102,Formulas!S190,RIGHT(Formulas!U190)+2),"")))</f>
        <v>Paulina Quishpe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IFERROR(INDEX(Datos!$A$2:$K$102,Formulas!T191,Formulas!U191+2),"")))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IFERROR(INDEX(Datos!$A$2:$K$102,Formulas!X190,RIGHT(Formulas!Z190)+2),"")))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IFERROR(INDEX(Datos!$A$2:$K$102,Formulas!Y191,Formulas!Z191+2),"")))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IFERROR(INDEX(Datos!$A$2:$K$102,Formulas!AC190,RIGHT(Formulas!AE190)+2),"")))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IFERROR(INDEX(Datos!$A$2:$K$102,Formulas!AD191,Formulas!AE191+2),"")))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IFERROR(INDEX(Datos!$A$2:$K$102,Formulas!AH190,RIGHT(Formulas!AJ190)+2),"")))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IFERROR(INDEX(Datos!$A$2:$K$102,Formulas!AI191,Formulas!AJ191+2),"")))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IFERROR(INDEX(Datos!$A$2:$K$102,Formulas!AM190,RIGHT(Formulas!AO190)+2),"")))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IFERROR(INDEX(Datos!$A$2:$K$102,Formulas!AN191,Formulas!AO191+2),"")))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IFERROR(INDEX(Datos!$A$2:$K$102,Formulas!AR190,RIGHT(Formulas!AT190)+2),"")))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IFERROR(INDEX(Datos!$A$2:$K$102,Formulas!AS191,Formulas!AT191+2),"")))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IFERROR(INDEX(Datos!$A$2:$K$102,Formulas!AW190,RIGHT(Formulas!AY190)+2),"")))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IFERROR(INDEX(Datos!$A$2:$K$102,Formulas!AX191,Formulas!AY191+2),"")))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IFERROR(INDEX(Datos!$A$2:$K$102,Formulas!D191,RIGHT(Formulas!F191)+2),"")))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IFERROR(INDEX(Datos!$A$2:$K$102,Formulas!E192,Formulas!F192+2),"")))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IFERROR(INDEX(Datos!$A$2:$K$102,Formulas!I191,RIGHT(Formulas!K191)+2),"")))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IFERROR(INDEX(Datos!$A$2:$K$102,Formulas!J192,Formulas!K192+2),"")))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IFERROR(INDEX(Datos!$A$2:$K$102,Formulas!N191,RIGHT(Formulas!P191)+2),"")))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IFERROR(INDEX(Datos!$A$2:$K$102,Formulas!O192,Formulas!P192+2),"")))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IFERROR(INDEX(Datos!$A$2:$K$102,Formulas!S191,RIGHT(Formulas!U191)+2),"")))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IFERROR(INDEX(Datos!$A$2:$K$102,Formulas!T192,Formulas!U192+2),"")))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IFERROR(INDEX(Datos!$A$2:$K$102,Formulas!X191,RIGHT(Formulas!Z191)+2),"")))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IFERROR(INDEX(Datos!$A$2:$K$102,Formulas!Y192,Formulas!Z192+2),"")))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IFERROR(INDEX(Datos!$A$2:$K$102,Formulas!AC191,RIGHT(Formulas!AE191)+2),"")))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IFERROR(INDEX(Datos!$A$2:$K$102,Formulas!AD192,Formulas!AE192+2),"")))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IFERROR(INDEX(Datos!$A$2:$K$102,Formulas!AH191,RIGHT(Formulas!AJ191)+2),"")))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IFERROR(INDEX(Datos!$A$2:$K$102,Formulas!AI192,Formulas!AJ192+2),"")))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IFERROR(INDEX(Datos!$A$2:$K$102,Formulas!AM191,RIGHT(Formulas!AO191)+2),"")))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IFERROR(INDEX(Datos!$A$2:$K$102,Formulas!AN192,Formulas!AO192+2),"")))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IFERROR(INDEX(Datos!$A$2:$K$102,Formulas!AR191,RIGHT(Formulas!AT191)+2),"")))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IFERROR(INDEX(Datos!$A$2:$K$102,Formulas!AS192,Formulas!AT192+2),"")))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IFERROR(INDEX(Datos!$A$2:$K$102,Formulas!AW191,RIGHT(Formulas!AY191)+2),"")))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IFERROR(INDEX(Datos!$A$2:$K$102,Formulas!AX192,Formulas!AY192+2),"")))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IFERROR(INDEX(Datos!$A$2:$K$102,Formulas!D192,RIGHT(Formulas!F192)+2),"")))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IFERROR(INDEX(Datos!$A$2:$K$102,Formulas!E193,Formulas!F193+2),"")))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IFERROR(INDEX(Datos!$A$2:$K$102,Formulas!I192,RIGHT(Formulas!K192)+2),"")))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IFERROR(INDEX(Datos!$A$2:$K$102,Formulas!J193,Formulas!K193+2),"")))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IFERROR(INDEX(Datos!$A$2:$K$102,Formulas!N192,RIGHT(Formulas!P192)+2),"")))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IFERROR(INDEX(Datos!$A$2:$K$102,Formulas!O193,Formulas!P193+2),"")))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37: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IFERROR(INDEX(Datos!$A$2:$K$102,Formulas!S192,RIGHT(Formulas!U192)+2),"")))</f>
        <v xml:space="preserve">REQ004-1 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IFERROR(INDEX(Datos!$A$2:$K$102,Formulas!T193,Formulas!U193+2),"")))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IFERROR(INDEX(Datos!$A$2:$K$102,Formulas!X192,RIGHT(Formulas!Z192)+2),"")))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IFERROR(INDEX(Datos!$A$2:$K$102,Formulas!Y193,Formulas!Z193+2),"")))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IFERROR(INDEX(Datos!$A$2:$K$102,Formulas!AC192,RIGHT(Formulas!AE192)+2),"")))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IFERROR(INDEX(Datos!$A$2:$K$102,Formulas!AD193,Formulas!AE193+2),"")))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IFERROR(INDEX(Datos!$A$2:$K$102,Formulas!AH192,RIGHT(Formulas!AJ192)+2),"")))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IFERROR(INDEX(Datos!$A$2:$K$102,Formulas!AI193,Formulas!AJ193+2),"")))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IFERROR(INDEX(Datos!$A$2:$K$102,Formulas!AM192,RIGHT(Formulas!AO192)+2),"")))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IFERROR(INDEX(Datos!$A$2:$K$102,Formulas!AN193,Formulas!AO193+2),"")))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IFERROR(INDEX(Datos!$A$2:$K$102,Formulas!AR192,RIGHT(Formulas!AT192)+2),"")))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IFERROR(INDEX(Datos!$A$2:$K$102,Formulas!AS193,Formulas!AT193+2),"")))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IFERROR(INDEX(Datos!$A$2:$K$102,Formulas!AW192,RIGHT(Formulas!AY192)+2),"")))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IFERROR(INDEX(Datos!$A$2:$K$102,Formulas!AX193,Formulas!AY193+2),"")))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IFERROR(INDEX(Datos!$A$2:$K$102,Formulas!D193,RIGHT(Formulas!F193)+2),"")))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IFERROR(INDEX(Datos!$A$2:$K$102,Formulas!E194,Formulas!F194+2),"")))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IFERROR(INDEX(Datos!$A$2:$K$102,Formulas!I193,RIGHT(Formulas!K193)+2),"")))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IFERROR(INDEX(Datos!$A$2:$K$102,Formulas!J194,Formulas!K194+2),"")))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IFERROR(INDEX(Datos!$A$2:$K$102,Formulas!N193,RIGHT(Formulas!P193)+2),"")))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IFERROR(INDEX(Datos!$A$2:$K$102,Formulas!O194,Formulas!P194+2),"")))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IFERROR(INDEX(Datos!$A$2:$K$102,Formulas!S193,RIGHT(Formulas!U193)+2),"")))</f>
        <v>Agregar la opción "Buscar contrato" en la interfaz principal del sistema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IFERROR(INDEX(Datos!$A$2:$K$102,Formulas!T194,Formulas!U194+2),"")))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IFERROR(INDEX(Datos!$A$2:$K$102,Formulas!X193,RIGHT(Formulas!Z193)+2),"")))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IFERROR(INDEX(Datos!$A$2:$K$102,Formulas!Y194,Formulas!Z194+2),"")))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IFERROR(INDEX(Datos!$A$2:$K$102,Formulas!AC193,RIGHT(Formulas!AE193)+2),"")))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IFERROR(INDEX(Datos!$A$2:$K$102,Formulas!AD194,Formulas!AE194+2),"")))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IFERROR(INDEX(Datos!$A$2:$K$102,Formulas!AH193,RIGHT(Formulas!AJ193)+2),"")))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IFERROR(INDEX(Datos!$A$2:$K$102,Formulas!AI194,Formulas!AJ194+2),"")))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IFERROR(INDEX(Datos!$A$2:$K$102,Formulas!AM193,RIGHT(Formulas!AO193)+2),"")))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IFERROR(INDEX(Datos!$A$2:$K$102,Formulas!AN194,Formulas!AO194+2),"")))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IFERROR(INDEX(Datos!$A$2:$K$102,Formulas!AR193,RIGHT(Formulas!AT193)+2),"")))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IFERROR(INDEX(Datos!$A$2:$K$102,Formulas!AS194,Formulas!AT194+2),"")))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IFERROR(INDEX(Datos!$A$2:$K$102,Formulas!AW193,RIGHT(Formulas!AY193)+2),"")))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IFERROR(INDEX(Datos!$A$2:$K$102,Formulas!AX194,Formulas!AY194+2),"")))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IFERROR(INDEX(Datos!$A$2:$K$102,Formulas!D194,RIGHT(Formulas!F194)+2),"")))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IFERROR(INDEX(Datos!$A$2:$K$102,Formulas!E195,Formulas!F195+2),"")))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IFERROR(INDEX(Datos!$A$2:$K$102,Formulas!I194,RIGHT(Formulas!K194)+2),"")))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IFERROR(INDEX(Datos!$A$2:$K$102,Formulas!J195,Formulas!K195+2),"")))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IFERROR(INDEX(Datos!$A$2:$K$102,Formulas!N194,RIGHT(Formulas!P194)+2),"")))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IFERROR(INDEX(Datos!$A$2:$K$102,Formulas!O195,Formulas!P195+2),"")))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IFERROR(INDEX(Datos!$A$2:$K$102,Formulas!S194,RIGHT(Formulas!U194)+2),"")))</f>
        <v>45847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IFERROR(INDEX(Datos!$A$2:$K$102,Formulas!T195,Formulas!U195+2),"")))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IFERROR(INDEX(Datos!$A$2:$K$102,Formulas!X194,RIGHT(Formulas!Z194)+2),"")))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IFERROR(INDEX(Datos!$A$2:$K$102,Formulas!Y195,Formulas!Z195+2),"")))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IFERROR(INDEX(Datos!$A$2:$K$102,Formulas!AC194,RIGHT(Formulas!AE194)+2),"")))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IFERROR(INDEX(Datos!$A$2:$K$102,Formulas!AD195,Formulas!AE195+2),"")))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IFERROR(INDEX(Datos!$A$2:$K$102,Formulas!AH194,RIGHT(Formulas!AJ194)+2),"")))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IFERROR(INDEX(Datos!$A$2:$K$102,Formulas!AI195,Formulas!AJ195+2),"")))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IFERROR(INDEX(Datos!$A$2:$K$102,Formulas!AM194,RIGHT(Formulas!AO194)+2),"")))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IFERROR(INDEX(Datos!$A$2:$K$102,Formulas!AN195,Formulas!AO195+2),"")))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IFERROR(INDEX(Datos!$A$2:$K$102,Formulas!AR194,RIGHT(Formulas!AT194)+2),"")))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IFERROR(INDEX(Datos!$A$2:$K$102,Formulas!AS195,Formulas!AT195+2),"")))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IFERROR(INDEX(Datos!$A$2:$K$102,Formulas!AW194,RIGHT(Formulas!AY194)+2),"")))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IFERROR(INDEX(Datos!$A$2:$K$102,Formulas!AX195,Formulas!AY195+2),"")))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IFERROR(INDEX(Datos!$A$2:$K$102,Formulas!D195,RIGHT(Formulas!F195)+2),"")))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IFERROR(INDEX(Datos!$A$2:$K$102,Formulas!E196,Formulas!F196+2),"")))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IFERROR(INDEX(Datos!$A$2:$K$102,Formulas!I195,RIGHT(Formulas!K195)+2),"")))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IFERROR(INDEX(Datos!$A$2:$K$102,Formulas!J196,Formulas!K196+2),"")))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IFERROR(INDEX(Datos!$A$2:$K$102,Formulas!N195,RIGHT(Formulas!P195)+2),"")))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IFERROR(INDEX(Datos!$A$2:$K$102,Formulas!O196,Formulas!P196+2),"")))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IFERROR(INDEX(Datos!$A$2:$K$102,Formulas!S195,RIGHT(Formulas!U195)+2),"")))</f>
        <v>45847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IFERROR(INDEX(Datos!$A$2:$K$102,Formulas!T196,Formulas!U196+2),"")))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IFERROR(INDEX(Datos!$A$2:$K$102,Formulas!X195,RIGHT(Formulas!Z195)+2),"")))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IFERROR(INDEX(Datos!$A$2:$K$102,Formulas!Y196,Formulas!Z196+2),"")))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IFERROR(INDEX(Datos!$A$2:$K$102,Formulas!AC195,RIGHT(Formulas!AE195)+2),"")))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IFERROR(INDEX(Datos!$A$2:$K$102,Formulas!AD196,Formulas!AE196+2),"")))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IFERROR(INDEX(Datos!$A$2:$K$102,Formulas!AH195,RIGHT(Formulas!AJ195)+2),"")))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IFERROR(INDEX(Datos!$A$2:$K$102,Formulas!AI196,Formulas!AJ196+2),"")))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IFERROR(INDEX(Datos!$A$2:$K$102,Formulas!AM195,RIGHT(Formulas!AO195)+2),"")))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IFERROR(INDEX(Datos!$A$2:$K$102,Formulas!AN196,Formulas!AO196+2),"")))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IFERROR(INDEX(Datos!$A$2:$K$102,Formulas!AR195,RIGHT(Formulas!AT195)+2),"")))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IFERROR(INDEX(Datos!$A$2:$K$102,Formulas!AS196,Formulas!AT196+2),"")))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IFERROR(INDEX(Datos!$A$2:$K$102,Formulas!AW195,RIGHT(Formulas!AY195)+2),"")))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IFERROR(INDEX(Datos!$A$2:$K$102,Formulas!AX196,Formulas!AY196+2),"")))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IFERROR(INDEX(Datos!$A$2:$K$102,Formulas!D196,RIGHT(Formulas!F196)+2),"")))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IFERROR(INDEX(Datos!$A$2:$K$102,Formulas!E197,Formulas!F197+2),"")))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IFERROR(INDEX(Datos!$A$2:$K$102,Formulas!I196,RIGHT(Formulas!K196)+2),"")))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IFERROR(INDEX(Datos!$A$2:$K$102,Formulas!J197,Formulas!K197+2),"")))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IFERROR(INDEX(Datos!$A$2:$K$102,Formulas!N196,RIGHT(Formulas!P196)+2),"")))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IFERROR(INDEX(Datos!$A$2:$K$102,Formulas!O197,Formulas!P197+2),"")))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IFERROR(INDEX(Datos!$A$2:$K$102,Formulas!S196,RIGHT(Formulas!U196)+2),"")))</f>
        <v>45847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IFERROR(INDEX(Datos!$A$2:$K$102,Formulas!T197,Formulas!U197+2),"")))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IFERROR(INDEX(Datos!$A$2:$K$102,Formulas!X196,RIGHT(Formulas!Z196)+2),"")))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IFERROR(INDEX(Datos!$A$2:$K$102,Formulas!Y197,Formulas!Z197+2),"")))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IFERROR(INDEX(Datos!$A$2:$K$102,Formulas!AC196,RIGHT(Formulas!AE196)+2),"")))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IFERROR(INDEX(Datos!$A$2:$K$102,Formulas!AD197,Formulas!AE197+2),"")))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IFERROR(INDEX(Datos!$A$2:$K$102,Formulas!AH196,RIGHT(Formulas!AJ196)+2),"")))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IFERROR(INDEX(Datos!$A$2:$K$102,Formulas!AI197,Formulas!AJ197+2),"")))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IFERROR(INDEX(Datos!$A$2:$K$102,Formulas!AM196,RIGHT(Formulas!AO196)+2),"")))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IFERROR(INDEX(Datos!$A$2:$K$102,Formulas!AN197,Formulas!AO197+2),"")))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IFERROR(INDEX(Datos!$A$2:$K$102,Formulas!AR196,RIGHT(Formulas!AT196)+2),"")))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IFERROR(INDEX(Datos!$A$2:$K$102,Formulas!AS197,Formulas!AT197+2),"")))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IFERROR(INDEX(Datos!$A$2:$K$102,Formulas!AW196,RIGHT(Formulas!AY196)+2),"")))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IFERROR(INDEX(Datos!$A$2:$K$102,Formulas!AX197,Formulas!AY197+2),"")))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IFERROR(INDEX(Datos!$A$2:$K$102,Formulas!D197,RIGHT(Formulas!F197)+2),"")))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IFERROR(INDEX(Datos!$A$2:$K$102,Formulas!E198,Formulas!F198+2),"")))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IFERROR(INDEX(Datos!$A$2:$K$102,Formulas!I197,RIGHT(Formulas!K197)+2),"")))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IFERROR(INDEX(Datos!$A$2:$K$102,Formulas!J198,Formulas!K198+2),"")))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IFERROR(INDEX(Datos!$A$2:$K$102,Formulas!N197,RIGHT(Formulas!P197)+2),"")))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IFERROR(INDEX(Datos!$A$2:$K$102,Formulas!O198,Formulas!P198+2),"")))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IFERROR(INDEX(Datos!$A$2:$K$102,Formulas!S197,RIGHT(Formulas!U197)+2),"")))</f>
        <v>1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IFERROR(INDEX(Datos!$A$2:$K$102,Formulas!T198,Formulas!U198+2),"")))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IFERROR(INDEX(Datos!$A$2:$K$102,Formulas!X197,RIGHT(Formulas!Z197)+2),"")))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IFERROR(INDEX(Datos!$A$2:$K$102,Formulas!Y198,Formulas!Z198+2),"")))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IFERROR(INDEX(Datos!$A$2:$K$102,Formulas!AC197,RIGHT(Formulas!AE197)+2),"")))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IFERROR(INDEX(Datos!$A$2:$K$102,Formulas!AD198,Formulas!AE198+2),"")))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IFERROR(INDEX(Datos!$A$2:$K$102,Formulas!AH197,RIGHT(Formulas!AJ197)+2),"")))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IFERROR(INDEX(Datos!$A$2:$K$102,Formulas!AI198,Formulas!AJ198+2),"")))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IFERROR(INDEX(Datos!$A$2:$K$102,Formulas!AM197,RIGHT(Formulas!AO197)+2),"")))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IFERROR(INDEX(Datos!$A$2:$K$102,Formulas!AN198,Formulas!AO198+2),"")))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IFERROR(INDEX(Datos!$A$2:$K$102,Formulas!AR197,RIGHT(Formulas!AT197)+2),"")))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IFERROR(INDEX(Datos!$A$2:$K$102,Formulas!AS198,Formulas!AT198+2),"")))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IFERROR(INDEX(Datos!$A$2:$K$102,Formulas!AW197,RIGHT(Formulas!AY197)+2),"")))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IFERROR(INDEX(Datos!$A$2:$K$102,Formulas!AX198,Formulas!AY198+2),"")))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IFERROR(INDEX(Datos!$A$2:$K$102,Formulas!D198,RIGHT(Formulas!F198)+2),"")))</f>
        <v/>
      </c>
      <c r="E201" s="114" t="str" cm="1">
        <f t="array" aca="1" ref="E201" ca="1">IF(OR(Formulas!F199=0,Formulas!F199=""),"",HYPERLINK("["&amp;Archivo_Nombre&amp;"]Datos!"&amp;LEFT(SUBSTITUTE(ADDRESS(1,Formulas!F199+2),"$",""))&amp;Formulas!E199+1,
IFERROR(INDEX(Datos!$A$2:$K$102,Formulas!E199,Formulas!F199+2),"")))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IFERROR(INDEX(Datos!$A$2:$K$102,Formulas!I198,RIGHT(Formulas!K198)+2),"")))</f>
        <v/>
      </c>
      <c r="J201" s="114" t="str" cm="1">
        <f t="array" aca="1" ref="J201" ca="1">IF(OR(Formulas!K199=0,Formulas!K199=""),"",HYPERLINK("["&amp;Archivo_Nombre&amp;"]Datos!"&amp;LEFT(SUBSTITUTE(ADDRESS(1,Formulas!K199+2),"$",""))&amp;Formulas!J199+1,
IFERROR(INDEX(Datos!$A$2:$K$102,Formulas!J199,Formulas!K199+2),"")))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IFERROR(INDEX(Datos!$A$2:$K$102,Formulas!N198,RIGHT(Formulas!P198)+2),"")))</f>
        <v/>
      </c>
      <c r="O201" s="114" t="str" cm="1">
        <f t="array" aca="1" ref="O201" ca="1">IF(OR(Formulas!P199=0,Formulas!P199=""),"",HYPERLINK("["&amp;Archivo_Nombre&amp;"]Datos!"&amp;LEFT(SUBSTITUTE(ADDRESS(1,Formulas!P199+2),"$",""))&amp;Formulas!O199+1,
IFERROR(INDEX(Datos!$A$2:$K$102,Formulas!O199,Formulas!P199+2),"")))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IFERROR(INDEX(Datos!$A$2:$K$102,Formulas!S198,RIGHT(Formulas!U198)+2),"")))</f>
        <v>0 días</v>
      </c>
      <c r="T201" s="114" t="str" cm="1">
        <f t="array" aca="1" ref="T201" ca="1">IF(OR(Formulas!U199=0,Formulas!U199=""),"",HYPERLINK("["&amp;Archivo_Nombre&amp;"]Datos!"&amp;LEFT(SUBSTITUTE(ADDRESS(1,Formulas!U199+2),"$",""))&amp;Formulas!T199+1,
IFERROR(INDEX(Datos!$A$2:$K$102,Formulas!T199,Formulas!U199+2),"")))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IFERROR(INDEX(Datos!$A$2:$K$102,Formulas!X198,RIGHT(Formulas!Z198)+2),"")))</f>
        <v/>
      </c>
      <c r="Y201" s="114" t="str" cm="1">
        <f t="array" aca="1" ref="Y201" ca="1">IF(OR(Formulas!Z199=0,Formulas!Z199=""),"",HYPERLINK("["&amp;Archivo_Nombre&amp;"]Datos!"&amp;LEFT(SUBSTITUTE(ADDRESS(1,Formulas!Z199+2),"$",""))&amp;Formulas!Y199+1,
IFERROR(INDEX(Datos!$A$2:$K$102,Formulas!Y199,Formulas!Z199+2),"")))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IFERROR(INDEX(Datos!$A$2:$K$102,Formulas!AC198,RIGHT(Formulas!AE198)+2),"")))</f>
        <v/>
      </c>
      <c r="AD201" s="114" t="str" cm="1">
        <f t="array" aca="1" ref="AD201" ca="1">IF(OR(Formulas!AE199=0,Formulas!AE199=""),"",HYPERLINK("["&amp;Archivo_Nombre&amp;"]Datos!"&amp;LEFT(SUBSTITUTE(ADDRESS(1,Formulas!AE199+2),"$",""))&amp;Formulas!AD199+1,
IFERROR(INDEX(Datos!$A$2:$K$102,Formulas!AD199,Formulas!AE199+2),"")))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IFERROR(INDEX(Datos!$A$2:$K$102,Formulas!AH198,RIGHT(Formulas!AJ198)+2),"")))</f>
        <v/>
      </c>
      <c r="AI201" s="114" t="str" cm="1">
        <f t="array" aca="1" ref="AI201" ca="1">IF(OR(Formulas!AJ199=0,Formulas!AJ199=""),"",HYPERLINK("["&amp;Archivo_Nombre&amp;"]Datos!"&amp;LEFT(SUBSTITUTE(ADDRESS(1,Formulas!AJ199+2),"$",""))&amp;Formulas!AI199+1,
IFERROR(INDEX(Datos!$A$2:$K$102,Formulas!AI199,Formulas!AJ199+2),"")))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IFERROR(INDEX(Datos!$A$2:$K$102,Formulas!AM198,RIGHT(Formulas!AO198)+2),"")))</f>
        <v/>
      </c>
      <c r="AN201" s="114" t="str" cm="1">
        <f t="array" aca="1" ref="AN201" ca="1">IF(OR(Formulas!AO199=0,Formulas!AO199=""),"",HYPERLINK("["&amp;Archivo_Nombre&amp;"]Datos!"&amp;LEFT(SUBSTITUTE(ADDRESS(1,Formulas!AO199+2),"$",""))&amp;Formulas!AN199+1,
IFERROR(INDEX(Datos!$A$2:$K$102,Formulas!AN199,Formulas!AO199+2),"")))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IFERROR(INDEX(Datos!$A$2:$K$102,Formulas!AR198,RIGHT(Formulas!AT198)+2),"")))</f>
        <v/>
      </c>
      <c r="AS201" s="114" t="str" cm="1">
        <f t="array" aca="1" ref="AS201" ca="1">IF(OR(Formulas!AT199=0,Formulas!AT199=""),"",HYPERLINK("["&amp;Archivo_Nombre&amp;"]Datos!"&amp;LEFT(SUBSTITUTE(ADDRESS(1,Formulas!AT199+2),"$",""))&amp;Formulas!AS199+1,
IFERROR(INDEX(Datos!$A$2:$K$102,Formulas!AS199,Formulas!AT199+2),"")))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IFERROR(INDEX(Datos!$A$2:$K$102,Formulas!AW198,RIGHT(Formulas!AY198)+2),"")))</f>
        <v/>
      </c>
      <c r="AX201" s="114" t="str" cm="1">
        <f t="array" aca="1" ref="AX201" ca="1">IF(OR(Formulas!AY199=0,Formulas!AY199=""),"",HYPERLINK("["&amp;Archivo_Nombre&amp;"]Datos!"&amp;LEFT(SUBSTITUTE(ADDRESS(1,Formulas!AY199+2),"$",""))&amp;Formulas!AX199+1,
IFERROR(INDEX(Datos!$A$2:$K$102,Formulas!AX199,Formulas!AY199+2),"")))</f>
        <v/>
      </c>
      <c r="AY201" s="18"/>
    </row>
    <row r="202" spans="2:51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7" priority="1" stopIfTrue="1">
      <formula>AND(B6=miCabeceraRetraso&amp;":",IFERROR(--LEFT(C6,FIND(" ",C6)-1),0)&gt;0)</formula>
    </cfRule>
    <cfRule type="expression" dxfId="2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2"/>
  <sheetViews>
    <sheetView showGridLines="0" tabSelected="1" zoomScale="122" zoomScaleNormal="122" workbookViewId="0">
      <pane ySplit="1" topLeftCell="A42" activePane="bottomLeft" state="frozen"/>
      <selection pane="bottomLeft" activeCell="K46" sqref="K46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3" width="45.140625" style="3" customWidth="1"/>
    <col min="4" max="4" width="45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15">
      <c r="A2" s="91" t="s">
        <v>2</v>
      </c>
      <c r="B2" s="92" t="s">
        <v>3</v>
      </c>
      <c r="C2" s="129" t="s">
        <v>4</v>
      </c>
      <c r="D2" s="102" t="s">
        <v>5</v>
      </c>
      <c r="E2" s="103">
        <v>45787</v>
      </c>
      <c r="F2" s="93">
        <v>45940</v>
      </c>
      <c r="G2" s="93">
        <v>45940</v>
      </c>
      <c r="H2" s="43" t="str">
        <f ca="1">IF(Datos!$G2&gt;0,Datos!$G2-Datos!$E2+1 &amp; " " &amp; Idiomas!$A$29,"")</f>
        <v>154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9.1">
      <c r="A3" s="94" t="s">
        <v>2</v>
      </c>
      <c r="B3" s="95" t="s">
        <v>7</v>
      </c>
      <c r="C3" s="3" t="s">
        <v>8</v>
      </c>
      <c r="D3" s="104" t="s">
        <v>9</v>
      </c>
      <c r="E3" s="105">
        <v>45940</v>
      </c>
      <c r="F3" s="96">
        <v>45940</v>
      </c>
      <c r="G3" s="96">
        <v>45940</v>
      </c>
      <c r="H3" s="45" t="str">
        <f ca="1"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10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>
      <c r="A4" s="91" t="s">
        <v>2</v>
      </c>
      <c r="B4" s="92" t="s">
        <v>7</v>
      </c>
      <c r="C4" s="92" t="s">
        <v>11</v>
      </c>
      <c r="D4" s="92" t="s">
        <v>12</v>
      </c>
      <c r="E4" s="103">
        <v>45940</v>
      </c>
      <c r="F4" s="93">
        <v>45940</v>
      </c>
      <c r="G4" s="93">
        <v>45940</v>
      </c>
      <c r="H4" s="43" t="str">
        <f ca="1"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>
      <c r="A5" s="94" t="s">
        <v>2</v>
      </c>
      <c r="B5" s="95" t="s">
        <v>7</v>
      </c>
      <c r="C5" s="3" t="s">
        <v>13</v>
      </c>
      <c r="D5" s="95" t="s">
        <v>14</v>
      </c>
      <c r="E5" s="96">
        <v>45941</v>
      </c>
      <c r="F5" s="96">
        <v>45941</v>
      </c>
      <c r="G5" s="96">
        <v>45941</v>
      </c>
      <c r="H5" s="45" t="str">
        <f ca="1"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10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9.1">
      <c r="A6" s="91" t="s">
        <v>2</v>
      </c>
      <c r="B6" s="92" t="s">
        <v>7</v>
      </c>
      <c r="C6" s="107" t="s">
        <v>15</v>
      </c>
      <c r="D6" s="102" t="s">
        <v>16</v>
      </c>
      <c r="E6" s="93">
        <v>45941</v>
      </c>
      <c r="F6" s="93">
        <v>45941</v>
      </c>
      <c r="G6" s="93">
        <v>45941</v>
      </c>
      <c r="H6" s="43" t="str">
        <f ca="1"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17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>
      <c r="A7" s="94" t="s">
        <v>2</v>
      </c>
      <c r="B7" s="95" t="s">
        <v>18</v>
      </c>
      <c r="C7" s="106" t="s">
        <v>19</v>
      </c>
      <c r="D7" s="95" t="s">
        <v>20</v>
      </c>
      <c r="E7" s="96">
        <v>45950</v>
      </c>
      <c r="F7" s="96">
        <v>45950</v>
      </c>
      <c r="G7" s="96">
        <v>45950</v>
      </c>
      <c r="H7" s="45" t="str">
        <f ca="1"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9.1">
      <c r="A8" s="91" t="s">
        <v>2</v>
      </c>
      <c r="B8" s="92" t="s">
        <v>18</v>
      </c>
      <c r="C8" s="109" t="s">
        <v>21</v>
      </c>
      <c r="D8" s="102" t="s">
        <v>22</v>
      </c>
      <c r="E8" s="110">
        <v>45950</v>
      </c>
      <c r="F8" s="93">
        <v>45950</v>
      </c>
      <c r="G8" s="110">
        <v>45950</v>
      </c>
      <c r="H8" s="43" t="str">
        <f ca="1"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>
      <c r="A9" s="94" t="s">
        <v>2</v>
      </c>
      <c r="B9" s="95" t="s">
        <v>18</v>
      </c>
      <c r="C9" s="106" t="s">
        <v>23</v>
      </c>
      <c r="D9" s="95" t="s">
        <v>24</v>
      </c>
      <c r="E9" s="96">
        <v>45951</v>
      </c>
      <c r="F9" s="96">
        <v>45951</v>
      </c>
      <c r="G9" s="96">
        <v>45951</v>
      </c>
      <c r="H9" s="45" t="str">
        <f ca="1"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>
      <c r="A10" s="91" t="s">
        <v>2</v>
      </c>
      <c r="B10" s="92" t="s">
        <v>18</v>
      </c>
      <c r="C10" s="107" t="s">
        <v>26</v>
      </c>
      <c r="D10" s="92" t="s">
        <v>27</v>
      </c>
      <c r="E10" s="93">
        <v>45952</v>
      </c>
      <c r="F10" s="93">
        <v>45953</v>
      </c>
      <c r="G10" s="93">
        <v>45953</v>
      </c>
      <c r="H10" s="43" t="str">
        <f ca="1"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>
      <c r="A11" s="94" t="s">
        <v>2</v>
      </c>
      <c r="B11" s="95" t="s">
        <v>7</v>
      </c>
      <c r="C11" s="106" t="s">
        <v>28</v>
      </c>
      <c r="D11" s="95" t="s">
        <v>29</v>
      </c>
      <c r="E11" s="97">
        <v>45953</v>
      </c>
      <c r="F11" s="96">
        <v>45953</v>
      </c>
      <c r="G11" s="96">
        <v>45953</v>
      </c>
      <c r="H11" s="45" t="str">
        <f ca="1"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9.1">
      <c r="A12" s="91" t="s">
        <v>2</v>
      </c>
      <c r="B12" s="92" t="s">
        <v>7</v>
      </c>
      <c r="C12" s="107" t="s">
        <v>30</v>
      </c>
      <c r="D12" s="102" t="s">
        <v>31</v>
      </c>
      <c r="E12" s="98">
        <v>45953</v>
      </c>
      <c r="F12" s="93">
        <v>45953</v>
      </c>
      <c r="G12" s="93">
        <v>45953</v>
      </c>
      <c r="H12" s="43" t="str">
        <f ca="1"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10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.1">
      <c r="A13" s="94" t="s">
        <v>2</v>
      </c>
      <c r="B13" s="95" t="s">
        <v>7</v>
      </c>
      <c r="C13" s="108" t="s">
        <v>32</v>
      </c>
      <c r="D13" s="104" t="s">
        <v>33</v>
      </c>
      <c r="E13" s="96">
        <v>45953</v>
      </c>
      <c r="F13" s="96">
        <v>45953</v>
      </c>
      <c r="G13" s="96">
        <v>45953</v>
      </c>
      <c r="H13" s="45" t="str">
        <f ca="1"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5">
      <c r="A14" s="91" t="s">
        <v>2</v>
      </c>
      <c r="B14" s="92" t="s">
        <v>3</v>
      </c>
      <c r="C14" s="107" t="s">
        <v>34</v>
      </c>
      <c r="D14" s="102" t="s">
        <v>35</v>
      </c>
      <c r="E14" s="110">
        <v>45960</v>
      </c>
      <c r="F14" s="93">
        <v>45960</v>
      </c>
      <c r="G14" s="110">
        <v>45960</v>
      </c>
      <c r="H14" s="43" t="str">
        <f ca="1"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>
      <c r="A15" s="94" t="s">
        <v>2</v>
      </c>
      <c r="B15" s="95" t="s">
        <v>3</v>
      </c>
      <c r="C15" s="106" t="s">
        <v>36</v>
      </c>
      <c r="D15" s="95" t="s">
        <v>37</v>
      </c>
      <c r="E15" s="111">
        <v>45961</v>
      </c>
      <c r="F15" s="96">
        <v>45961</v>
      </c>
      <c r="G15" s="111">
        <v>45961</v>
      </c>
      <c r="H15" s="45" t="str">
        <f ca="1"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8.75">
      <c r="A16" s="91" t="s">
        <v>2</v>
      </c>
      <c r="B16" s="92" t="s">
        <v>3</v>
      </c>
      <c r="C16" s="128" t="s">
        <v>38</v>
      </c>
      <c r="D16" s="102" t="s">
        <v>39</v>
      </c>
      <c r="E16" s="110">
        <v>45961</v>
      </c>
      <c r="F16" s="110">
        <v>45961</v>
      </c>
      <c r="G16" s="110">
        <v>45961</v>
      </c>
      <c r="H16" s="43" t="str">
        <f ca="1"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40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.75">
      <c r="A17" s="94" t="s">
        <v>2</v>
      </c>
      <c r="B17" s="95" t="s">
        <v>3</v>
      </c>
      <c r="C17" s="108" t="s">
        <v>41</v>
      </c>
      <c r="D17" s="104" t="s">
        <v>39</v>
      </c>
      <c r="E17" s="111">
        <v>45961</v>
      </c>
      <c r="F17" s="96">
        <v>45961</v>
      </c>
      <c r="G17" s="96">
        <v>45961</v>
      </c>
      <c r="H17" s="45" t="str">
        <f ca="1"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40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30.75">
      <c r="A18" s="91" t="s">
        <v>2</v>
      </c>
      <c r="B18" s="92" t="s">
        <v>3</v>
      </c>
      <c r="C18" s="107" t="s">
        <v>42</v>
      </c>
      <c r="D18" s="92" t="s">
        <v>39</v>
      </c>
      <c r="E18" s="110">
        <v>45961</v>
      </c>
      <c r="F18" s="110">
        <v>45961</v>
      </c>
      <c r="G18" s="110">
        <v>45961</v>
      </c>
      <c r="H18" s="43" t="str">
        <f ca="1"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40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15">
      <c r="A19" s="94" t="s">
        <v>2</v>
      </c>
      <c r="B19" s="95" t="s">
        <v>18</v>
      </c>
      <c r="C19" s="106" t="s">
        <v>43</v>
      </c>
      <c r="D19" s="104" t="s">
        <v>44</v>
      </c>
      <c r="E19" s="111">
        <v>45994</v>
      </c>
      <c r="F19" s="111">
        <v>45999</v>
      </c>
      <c r="G19" s="111">
        <v>45999</v>
      </c>
      <c r="H19" s="45" t="str">
        <f ca="1">IF(Datos!$G19&gt;0,Datos!$G19-Datos!$E19+1 &amp; " " &amp; Idiomas!$A$29,"")</f>
        <v>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30.75">
      <c r="A20" s="91" t="s">
        <v>2</v>
      </c>
      <c r="B20" s="92" t="s">
        <v>18</v>
      </c>
      <c r="C20" s="107" t="s">
        <v>45</v>
      </c>
      <c r="D20" s="92" t="s">
        <v>46</v>
      </c>
      <c r="E20" s="110">
        <v>45994</v>
      </c>
      <c r="F20" s="110">
        <v>45999</v>
      </c>
      <c r="G20" s="110">
        <v>45999</v>
      </c>
      <c r="H20" s="43" t="str">
        <f ca="1">IF(Datos!$G20&gt;0,Datos!$G20-Datos!$E20+1 &amp; " " &amp; Idiomas!$A$29,"")</f>
        <v>6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6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30.75">
      <c r="A21" s="94" t="s">
        <v>2</v>
      </c>
      <c r="B21" s="95" t="s">
        <v>18</v>
      </c>
      <c r="C21" s="108" t="s">
        <v>47</v>
      </c>
      <c r="D21" s="104" t="s">
        <v>48</v>
      </c>
      <c r="E21" s="111">
        <v>45994</v>
      </c>
      <c r="F21" s="111">
        <v>45999</v>
      </c>
      <c r="G21" s="111">
        <v>45999</v>
      </c>
      <c r="H21" s="45" t="str">
        <f ca="1"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30.75">
      <c r="A22" s="91" t="s">
        <v>2</v>
      </c>
      <c r="B22" s="92" t="s">
        <v>18</v>
      </c>
      <c r="C22" s="107" t="s">
        <v>49</v>
      </c>
      <c r="D22" s="92" t="s">
        <v>50</v>
      </c>
      <c r="E22" s="110">
        <v>45994</v>
      </c>
      <c r="F22" s="110">
        <v>45999</v>
      </c>
      <c r="G22" s="110">
        <v>45999</v>
      </c>
      <c r="H22" s="43" t="str">
        <f ca="1">IF(Datos!$G22&gt;0,Datos!$G22-Datos!$E22+1 &amp; " " &amp; Idiomas!$A$29,"")</f>
        <v>6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>
      <c r="A23" s="94" t="s">
        <v>2</v>
      </c>
      <c r="B23" s="95" t="s">
        <v>18</v>
      </c>
      <c r="C23" s="106" t="s">
        <v>51</v>
      </c>
      <c r="D23" s="95" t="s">
        <v>52</v>
      </c>
      <c r="E23" s="111">
        <v>45994</v>
      </c>
      <c r="F23" s="111">
        <v>45999</v>
      </c>
      <c r="G23" s="111">
        <v>45999</v>
      </c>
      <c r="H23" s="45" t="str">
        <f ca="1">IF(Datos!$G23&gt;0,Datos!$G23-Datos!$E23+1 &amp; " " &amp; Idiomas!$A$29,"")</f>
        <v>6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30.75">
      <c r="A24" s="91" t="s">
        <v>2</v>
      </c>
      <c r="B24" s="92" t="s">
        <v>18</v>
      </c>
      <c r="C24" s="107" t="s">
        <v>53</v>
      </c>
      <c r="D24" s="92" t="s">
        <v>54</v>
      </c>
      <c r="E24" s="110">
        <v>45994</v>
      </c>
      <c r="F24" s="110">
        <v>45999</v>
      </c>
      <c r="G24" s="110">
        <v>45999</v>
      </c>
      <c r="H24" s="43" t="str">
        <f ca="1">IF(Datos!$G24&gt;0,Datos!$G24-Datos!$E24+1 &amp; " " &amp; Idiomas!$A$29,"")</f>
        <v>6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30.75">
      <c r="A25" s="94" t="s">
        <v>2</v>
      </c>
      <c r="B25" s="95" t="s">
        <v>18</v>
      </c>
      <c r="C25" s="108" t="s">
        <v>55</v>
      </c>
      <c r="D25" s="95" t="s">
        <v>56</v>
      </c>
      <c r="E25" s="111">
        <v>45994</v>
      </c>
      <c r="F25" s="111">
        <v>45999</v>
      </c>
      <c r="G25" s="111">
        <v>45999</v>
      </c>
      <c r="H25" s="45" t="str">
        <f ca="1">IF(Datos!$G25&gt;0,Datos!$G25-Datos!$E25+1 &amp; " " &amp; Idiomas!$A$29,"")</f>
        <v>6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>
      <c r="A26" s="91" t="s">
        <v>2</v>
      </c>
      <c r="B26" s="92" t="s">
        <v>18</v>
      </c>
      <c r="C26" s="109" t="s">
        <v>57</v>
      </c>
      <c r="D26" s="92" t="s">
        <v>58</v>
      </c>
      <c r="E26" s="110">
        <v>45994</v>
      </c>
      <c r="F26" s="110">
        <v>45999</v>
      </c>
      <c r="G26" s="110">
        <v>45999</v>
      </c>
      <c r="H26" s="43" t="str">
        <f ca="1">IF(Datos!$G26&gt;0,Datos!$G26-Datos!$E26+1 &amp; " " &amp; Idiomas!$A$29,"")</f>
        <v>6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>
      <c r="A27" s="94" t="s">
        <v>2</v>
      </c>
      <c r="B27" s="95" t="s">
        <v>3</v>
      </c>
      <c r="C27" s="106" t="s">
        <v>59</v>
      </c>
      <c r="D27" s="95" t="s">
        <v>39</v>
      </c>
      <c r="E27" s="111">
        <v>45817</v>
      </c>
      <c r="F27" s="111">
        <v>45817</v>
      </c>
      <c r="G27" s="111">
        <v>45817</v>
      </c>
      <c r="H27" s="45" t="str">
        <f ca="1"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40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15">
      <c r="A28" s="91" t="s">
        <v>2</v>
      </c>
      <c r="B28" s="92" t="s">
        <v>18</v>
      </c>
      <c r="C28" s="107" t="s">
        <v>60</v>
      </c>
      <c r="D28" s="92" t="s">
        <v>61</v>
      </c>
      <c r="E28" s="110">
        <v>45994</v>
      </c>
      <c r="F28" s="110">
        <v>45999</v>
      </c>
      <c r="G28" s="110">
        <v>45999</v>
      </c>
      <c r="H28" s="43" t="str">
        <f ca="1">IF(Datos!$G28&gt;0,Datos!$G28-Datos!$E28+1 &amp; " " &amp; Idiomas!$A$29,"")</f>
        <v>6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17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30.75">
      <c r="A29" s="94" t="s">
        <v>2</v>
      </c>
      <c r="B29" s="95" t="s">
        <v>18</v>
      </c>
      <c r="C29" s="108" t="s">
        <v>62</v>
      </c>
      <c r="D29" s="95" t="s">
        <v>63</v>
      </c>
      <c r="E29" s="111">
        <v>45994</v>
      </c>
      <c r="F29" s="111">
        <v>45999</v>
      </c>
      <c r="G29" s="111">
        <v>45999</v>
      </c>
      <c r="H29" s="45" t="str">
        <f ca="1">IF(Datos!$G29&gt;0,Datos!$G29-Datos!$E29+1 &amp; " " &amp; Idiomas!$A$29,"")</f>
        <v>6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17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30.75">
      <c r="A30" s="91" t="s">
        <v>2</v>
      </c>
      <c r="B30" s="92" t="s">
        <v>18</v>
      </c>
      <c r="C30" s="107" t="s">
        <v>64</v>
      </c>
      <c r="D30" s="92" t="s">
        <v>65</v>
      </c>
      <c r="E30" s="110">
        <v>45994</v>
      </c>
      <c r="F30" s="110">
        <v>46000</v>
      </c>
      <c r="G30" s="110">
        <v>45999</v>
      </c>
      <c r="H30" s="43" t="str">
        <f ca="1">IF(Datos!$G30&gt;0,Datos!$G30-Datos!$E30+1 &amp; " " &amp; Idiomas!$A$29,"")</f>
        <v>6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17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30.75">
      <c r="A31" s="94" t="s">
        <v>2</v>
      </c>
      <c r="B31" s="95" t="s">
        <v>18</v>
      </c>
      <c r="C31" s="108" t="s">
        <v>66</v>
      </c>
      <c r="D31" s="95" t="s">
        <v>67</v>
      </c>
      <c r="E31" s="111">
        <v>45994</v>
      </c>
      <c r="F31" s="111">
        <v>45999</v>
      </c>
      <c r="G31" s="111">
        <v>45999</v>
      </c>
      <c r="H31" s="45" t="str">
        <f ca="1">IF(Datos!$G31&gt;0,Datos!$G31-Datos!$E31+1 &amp; " " &amp; Idiomas!$A$29,"")</f>
        <v>6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17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>
      <c r="A32" s="91" t="s">
        <v>2</v>
      </c>
      <c r="B32" s="92" t="s">
        <v>18</v>
      </c>
      <c r="C32" s="109" t="s">
        <v>68</v>
      </c>
      <c r="D32" s="92" t="s">
        <v>69</v>
      </c>
      <c r="E32" s="110">
        <v>45995</v>
      </c>
      <c r="F32" s="110">
        <v>46000</v>
      </c>
      <c r="G32" s="110">
        <v>46000</v>
      </c>
      <c r="H32" s="43" t="str">
        <f ca="1">IF(Datos!$G32&gt;0,Datos!$G32-Datos!$E32+1 &amp; " " &amp; Idiomas!$A$29,"")</f>
        <v>6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6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15">
      <c r="A33" s="94" t="s">
        <v>2</v>
      </c>
      <c r="B33" s="95" t="s">
        <v>18</v>
      </c>
      <c r="C33" s="108" t="s">
        <v>70</v>
      </c>
      <c r="D33" s="95" t="s">
        <v>71</v>
      </c>
      <c r="E33" s="111">
        <v>45996</v>
      </c>
      <c r="F33" s="111">
        <v>46001</v>
      </c>
      <c r="G33" s="111">
        <v>46001</v>
      </c>
      <c r="H33" s="45" t="str">
        <f ca="1">IF(Datos!$G33&gt;0,Datos!$G33-Datos!$E33+1 &amp; " " &amp; Idiomas!$A$29,"")</f>
        <v>6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>
      <c r="A34" s="91" t="s">
        <v>2</v>
      </c>
      <c r="B34" s="92" t="s">
        <v>18</v>
      </c>
      <c r="C34" s="109" t="s">
        <v>72</v>
      </c>
      <c r="D34" s="92" t="s">
        <v>73</v>
      </c>
      <c r="E34" s="110">
        <v>45997</v>
      </c>
      <c r="F34" s="110">
        <v>46002</v>
      </c>
      <c r="G34" s="110">
        <v>46002</v>
      </c>
      <c r="H34" s="43" t="str">
        <f ca="1">IF(Datos!$G34&gt;0,Datos!$G34-Datos!$E34+1 &amp; " " &amp; Idiomas!$A$29,"")</f>
        <v>6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6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>
      <c r="A35" s="94" t="s">
        <v>2</v>
      </c>
      <c r="B35" s="95" t="s">
        <v>18</v>
      </c>
      <c r="C35" s="106" t="s">
        <v>74</v>
      </c>
      <c r="D35" s="95"/>
      <c r="E35" s="111"/>
      <c r="F35" s="111"/>
      <c r="G35" s="111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95" t="s">
        <v>25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15">
      <c r="A36" s="91" t="s">
        <v>2</v>
      </c>
      <c r="B36" s="92" t="s">
        <v>3</v>
      </c>
      <c r="C36" s="109" t="s">
        <v>75</v>
      </c>
      <c r="D36" s="102" t="s">
        <v>39</v>
      </c>
      <c r="E36" s="110">
        <v>45838</v>
      </c>
      <c r="F36" s="110">
        <v>45838</v>
      </c>
      <c r="G36" s="110">
        <v>45838</v>
      </c>
      <c r="H36" s="43" t="str">
        <f ca="1"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40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15">
      <c r="A37" s="94" t="s">
        <v>2</v>
      </c>
      <c r="B37" s="95" t="s">
        <v>7</v>
      </c>
      <c r="C37" s="106" t="s">
        <v>76</v>
      </c>
      <c r="D37" s="95" t="s">
        <v>77</v>
      </c>
      <c r="E37" s="111">
        <v>45847</v>
      </c>
      <c r="F37" s="111">
        <v>45849</v>
      </c>
      <c r="G37" s="111">
        <v>45849</v>
      </c>
      <c r="H37" s="45" t="str">
        <f ca="1">IF(Datos!$G37&gt;0,Datos!$G37-Datos!$E37+1 &amp; " " &amp; Idiomas!$A$29,"")</f>
        <v>3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10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30.75">
      <c r="A38" s="91" t="s">
        <v>2</v>
      </c>
      <c r="B38" s="92" t="s">
        <v>7</v>
      </c>
      <c r="C38" s="109" t="s">
        <v>78</v>
      </c>
      <c r="D38" s="102" t="s">
        <v>79</v>
      </c>
      <c r="E38" s="110">
        <v>45847</v>
      </c>
      <c r="F38" s="110">
        <v>45847</v>
      </c>
      <c r="G38" s="110">
        <v>45847</v>
      </c>
      <c r="H38" s="43" t="str">
        <f ca="1"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30.75">
      <c r="A39" s="94" t="s">
        <v>2</v>
      </c>
      <c r="B39" s="95" t="s">
        <v>7</v>
      </c>
      <c r="C39" s="106" t="s">
        <v>80</v>
      </c>
      <c r="D39" s="104" t="s">
        <v>81</v>
      </c>
      <c r="E39" s="111">
        <v>45848</v>
      </c>
      <c r="F39" s="111">
        <v>45848</v>
      </c>
      <c r="G39" s="111">
        <v>45848</v>
      </c>
      <c r="H39" s="45" t="str">
        <f ca="1"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10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45.75">
      <c r="A40" s="91" t="s">
        <v>2</v>
      </c>
      <c r="B40" s="92" t="s">
        <v>7</v>
      </c>
      <c r="C40" s="109" t="s">
        <v>82</v>
      </c>
      <c r="D40" s="102" t="s">
        <v>83</v>
      </c>
      <c r="E40" s="110">
        <v>45849</v>
      </c>
      <c r="F40" s="110">
        <v>45850</v>
      </c>
      <c r="G40" s="110">
        <v>45850</v>
      </c>
      <c r="H40" s="43" t="str">
        <f ca="1"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10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30.75">
      <c r="A41" s="94" t="s">
        <v>2</v>
      </c>
      <c r="B41" s="95" t="s">
        <v>7</v>
      </c>
      <c r="C41" s="106" t="s">
        <v>84</v>
      </c>
      <c r="D41" s="104" t="s">
        <v>85</v>
      </c>
      <c r="E41" s="111">
        <v>45851</v>
      </c>
      <c r="F41" s="111">
        <v>45863</v>
      </c>
      <c r="G41" s="111">
        <v>45863</v>
      </c>
      <c r="H41" s="45" t="str">
        <f ca="1">IF(Datos!$G41&gt;0,Datos!$G41-Datos!$E41+1 &amp; " " &amp; Idiomas!$A$29,"")</f>
        <v>13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10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30.75">
      <c r="A42" s="91" t="s">
        <v>2</v>
      </c>
      <c r="B42" s="92" t="s">
        <v>7</v>
      </c>
      <c r="C42" s="109" t="s">
        <v>86</v>
      </c>
      <c r="D42" s="102" t="s">
        <v>87</v>
      </c>
      <c r="E42" s="110">
        <v>45851</v>
      </c>
      <c r="F42" s="110">
        <v>45853</v>
      </c>
      <c r="G42" s="110">
        <v>45853</v>
      </c>
      <c r="H42" s="43" t="str">
        <f ca="1"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10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45.75">
      <c r="A43" s="94" t="s">
        <v>2</v>
      </c>
      <c r="B43" s="95" t="s">
        <v>7</v>
      </c>
      <c r="C43" s="95" t="s">
        <v>88</v>
      </c>
      <c r="D43" s="104" t="s">
        <v>89</v>
      </c>
      <c r="E43" s="96">
        <v>45854</v>
      </c>
      <c r="F43" s="96">
        <v>45857</v>
      </c>
      <c r="G43" s="96">
        <v>45857</v>
      </c>
      <c r="H43" s="45" t="str">
        <f ca="1">IF(Datos!$G43&gt;0,Datos!$G43-Datos!$E43+1 &amp; " " &amp; Idiomas!$A$29,"")</f>
        <v>4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10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45.75">
      <c r="A44" s="91" t="s">
        <v>2</v>
      </c>
      <c r="B44" s="92" t="s">
        <v>7</v>
      </c>
      <c r="C44" s="92" t="s">
        <v>90</v>
      </c>
      <c r="D44" s="102" t="s">
        <v>91</v>
      </c>
      <c r="E44" s="93">
        <v>45858</v>
      </c>
      <c r="F44" s="93">
        <v>45860</v>
      </c>
      <c r="G44" s="93">
        <v>45860</v>
      </c>
      <c r="H44" s="43" t="str">
        <f ca="1"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121" t="s">
        <v>10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30.75">
      <c r="A45" s="122" t="s">
        <v>2</v>
      </c>
      <c r="B45" s="92" t="s">
        <v>7</v>
      </c>
      <c r="C45" s="123" t="s">
        <v>92</v>
      </c>
      <c r="D45" s="127" t="s">
        <v>93</v>
      </c>
      <c r="E45" s="124">
        <v>45861</v>
      </c>
      <c r="F45" s="124">
        <v>45863</v>
      </c>
      <c r="G45" s="124">
        <v>45863</v>
      </c>
      <c r="H45" s="125" t="str">
        <f ca="1">IF(Datos!$G45&gt;0,Datos!$G45-Datos!$E45+1 &amp; " " &amp; Idiomas!$A$29,"")</f>
        <v>3 días</v>
      </c>
      <c r="I45" s="12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123" t="s">
        <v>10</v>
      </c>
      <c r="K45" s="126" t="s">
        <v>94</v>
      </c>
    </row>
    <row r="46" spans="1:11" customFormat="1" ht="45.75">
      <c r="A46" s="94" t="s">
        <v>2</v>
      </c>
      <c r="B46" s="95" t="s">
        <v>7</v>
      </c>
      <c r="C46" s="104" t="s">
        <v>95</v>
      </c>
      <c r="D46" s="95" t="s">
        <v>96</v>
      </c>
      <c r="E46" s="96">
        <v>45846</v>
      </c>
      <c r="F46" s="96">
        <v>45846</v>
      </c>
      <c r="G46" s="96">
        <v>45846</v>
      </c>
      <c r="H46" s="45" t="str">
        <f ca="1">IF(Datos!$G46&gt;0,Datos!$G46-Datos!$E46+1 &amp; " " &amp; Idiomas!$A$29,"")</f>
        <v>1 días</v>
      </c>
      <c r="I46" s="45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5" t="s">
        <v>10</v>
      </c>
      <c r="K46" s="126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45.75">
      <c r="A47" s="91" t="s">
        <v>2</v>
      </c>
      <c r="B47" s="92" t="s">
        <v>7</v>
      </c>
      <c r="C47" s="102" t="s">
        <v>97</v>
      </c>
      <c r="D47" s="92" t="s">
        <v>98</v>
      </c>
      <c r="E47" s="93">
        <v>45847</v>
      </c>
      <c r="F47" s="93">
        <v>45849</v>
      </c>
      <c r="G47" s="93">
        <v>45849</v>
      </c>
      <c r="H47" s="43" t="str">
        <f ca="1">IF(Datos!$G47&gt;0,Datos!$G47-Datos!$E47+1 &amp; " " &amp; Idiomas!$A$29,"")</f>
        <v>3 días</v>
      </c>
      <c r="I47" s="43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2" t="s">
        <v>10</v>
      </c>
      <c r="K47" s="44" t="str" cm="1">
        <f t="array" aca="1" ref="K47" ca="1">HYPERLINK("["&amp;Archivo_Nombre&amp;"]KANBAN!"&amp;IF(Tareas!$P46="","B2",Tareas!$P46),IF(Datos!$A47="","",Idiomas!$A$12&amp;" "&amp;ROW()-1))</f>
        <v>Tarea 46</v>
      </c>
    </row>
    <row r="48" spans="1:11" customFormat="1" ht="30.75">
      <c r="A48" s="94" t="s">
        <v>2</v>
      </c>
      <c r="B48" s="95" t="s">
        <v>3</v>
      </c>
      <c r="C48" s="104" t="s">
        <v>99</v>
      </c>
      <c r="D48" s="95" t="s">
        <v>39</v>
      </c>
      <c r="E48" s="96">
        <v>46005</v>
      </c>
      <c r="F48" s="96">
        <v>46005</v>
      </c>
      <c r="G48" s="96">
        <v>46005</v>
      </c>
      <c r="H48" s="45" t="str">
        <f ca="1">IF(Datos!$G48&gt;0,Datos!$G48-Datos!$E48+1 &amp; " " &amp; Idiomas!$A$29,"")</f>
        <v>1 días</v>
      </c>
      <c r="I48" s="45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5" t="s">
        <v>40</v>
      </c>
      <c r="K48" s="46" t="str" cm="1">
        <f t="array" aca="1" ref="K48" ca="1">HYPERLINK("["&amp;Archivo_Nombre&amp;"]KANBAN!"&amp;IF(Tareas!$P47="","B2",Tareas!$P47),IF(Datos!$A48="","",Idiomas!$A$12&amp;" "&amp;ROW()-1))</f>
        <v>Tarea 47</v>
      </c>
    </row>
    <row r="49" spans="1:11" customFormat="1" ht="15">
      <c r="A49" s="91" t="s">
        <v>2</v>
      </c>
      <c r="B49" s="92" t="s">
        <v>3</v>
      </c>
      <c r="C49" s="102" t="s">
        <v>100</v>
      </c>
      <c r="D49" s="92" t="s">
        <v>39</v>
      </c>
      <c r="E49" s="93">
        <v>46005</v>
      </c>
      <c r="F49" s="93">
        <v>46005</v>
      </c>
      <c r="G49" s="93">
        <v>46005</v>
      </c>
      <c r="H49" s="43" t="str">
        <f ca="1">IF(Datos!$G49&gt;0,Datos!$G49-Datos!$E49+1 &amp; " " &amp; Idiomas!$A$29,"")</f>
        <v>1 días</v>
      </c>
      <c r="I49" s="43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2" t="s">
        <v>40</v>
      </c>
      <c r="K49" s="44" t="str" cm="1">
        <f t="array" aca="1" ref="K49" ca="1">HYPERLINK("["&amp;Archivo_Nombre&amp;"]KANBAN!"&amp;IF(Tareas!$P48="","B2",Tareas!$P48),IF(Datos!$A49="","",Idiomas!$A$12&amp;" "&amp;ROW()-1))</f>
        <v>Tarea 48</v>
      </c>
    </row>
    <row r="50" spans="1:11" customFormat="1" ht="15">
      <c r="A50" s="94" t="s">
        <v>2</v>
      </c>
      <c r="B50" s="95" t="s">
        <v>18</v>
      </c>
      <c r="C50" s="104" t="s">
        <v>101</v>
      </c>
      <c r="D50" s="95" t="s">
        <v>102</v>
      </c>
      <c r="E50" s="96">
        <v>46006</v>
      </c>
      <c r="F50" s="96">
        <v>46006</v>
      </c>
      <c r="G50" s="96">
        <v>46006</v>
      </c>
      <c r="H50" s="45" t="str">
        <f ca="1">IF(Datos!$G50&gt;0,Datos!$G50-Datos!$E50+1 &amp; " " &amp; Idiomas!$A$29,"")</f>
        <v>1 días</v>
      </c>
      <c r="I50" s="45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5" t="s">
        <v>25</v>
      </c>
      <c r="K50" s="46" t="str" cm="1">
        <f t="array" aca="1" ref="K50" ca="1">HYPERLINK("["&amp;Archivo_Nombre&amp;"]KANBAN!"&amp;IF(Tareas!$P49="","B2",Tareas!$P49),IF(Datos!$A50="","",Idiomas!$A$12&amp;" "&amp;ROW()-1))</f>
        <v>Tarea 49</v>
      </c>
    </row>
    <row r="51" spans="1:11" customFormat="1" ht="30.75">
      <c r="A51" s="91" t="s">
        <v>2</v>
      </c>
      <c r="B51" s="92" t="s">
        <v>3</v>
      </c>
      <c r="C51" s="102" t="s">
        <v>103</v>
      </c>
      <c r="D51" s="92" t="s">
        <v>39</v>
      </c>
      <c r="E51" s="93">
        <v>46007</v>
      </c>
      <c r="F51" s="93">
        <v>46007</v>
      </c>
      <c r="G51" s="93">
        <v>46007</v>
      </c>
      <c r="H51" s="43" t="str">
        <f ca="1">IF(Datos!$G51&gt;0,Datos!$G51-Datos!$E51+1 &amp; " " &amp; Idiomas!$A$29,"")</f>
        <v>1 días</v>
      </c>
      <c r="I51" s="43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2" t="s">
        <v>40</v>
      </c>
      <c r="K51" s="44" t="str" cm="1">
        <f t="array" aca="1" ref="K51" ca="1">HYPERLINK("["&amp;Archivo_Nombre&amp;"]KANBAN!"&amp;IF(Tareas!$P50="","B2",Tareas!$P50),IF(Datos!$A51="","",Idiomas!$A$12&amp;" "&amp;ROW()-1))</f>
        <v>Tarea 50</v>
      </c>
    </row>
    <row r="52" spans="1:11" customFormat="1">
      <c r="A52" s="94" t="s">
        <v>2</v>
      </c>
      <c r="B52" s="95" t="s">
        <v>7</v>
      </c>
      <c r="C52" s="95" t="s">
        <v>104</v>
      </c>
      <c r="D52" s="95" t="s">
        <v>39</v>
      </c>
      <c r="E52" s="96">
        <v>46007</v>
      </c>
      <c r="F52" s="96">
        <v>46007</v>
      </c>
      <c r="G52" s="96">
        <v>46007</v>
      </c>
      <c r="H52" s="45" t="str">
        <f ca="1">IF(Datos!$G52&gt;0,Datos!$G52-Datos!$E52+1 &amp; " " &amp; Idiomas!$A$29,"")</f>
        <v>1 días</v>
      </c>
      <c r="I52" s="45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5" t="s">
        <v>25</v>
      </c>
      <c r="K52" s="46" t="str" cm="1">
        <f t="array" aca="1" ref="K52" ca="1">HYPERLINK("["&amp;Archivo_Nombre&amp;"]KANBAN!"&amp;IF(Tareas!$P51="","B2",Tareas!$P51),IF(Datos!$A52="","",Idiomas!$A$12&amp;" "&amp;ROW()-1))</f>
        <v>Tarea 51</v>
      </c>
    </row>
    <row r="53" spans="1:11" customFormat="1" ht="30.75">
      <c r="A53" s="91" t="s">
        <v>2</v>
      </c>
      <c r="B53" s="92" t="s">
        <v>3</v>
      </c>
      <c r="C53" s="102" t="s">
        <v>105</v>
      </c>
      <c r="D53" s="92" t="s">
        <v>39</v>
      </c>
      <c r="E53" s="93">
        <v>46007</v>
      </c>
      <c r="F53" s="93">
        <v>46007</v>
      </c>
      <c r="G53" s="93">
        <v>46007</v>
      </c>
      <c r="H53" s="43" t="str">
        <f ca="1">IF(Datos!$G53&gt;0,Datos!$G53-Datos!$E53+1 &amp; " " &amp; Idiomas!$A$29,"")</f>
        <v>1 días</v>
      </c>
      <c r="I53" s="43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2" t="s">
        <v>40</v>
      </c>
      <c r="K53" s="44" t="str" cm="1">
        <f t="array" aca="1" ref="K53" ca="1">HYPERLINK("["&amp;Archivo_Nombre&amp;"]KANBAN!"&amp;IF(Tareas!$P52="","B2",Tareas!$P52),IF(Datos!$A53="","",Idiomas!$A$12&amp;" "&amp;ROW()-1))</f>
        <v>Tarea 52</v>
      </c>
    </row>
    <row r="54" spans="1:11" customFormat="1" ht="30.75">
      <c r="A54" s="94" t="s">
        <v>2</v>
      </c>
      <c r="B54" s="95" t="s">
        <v>7</v>
      </c>
      <c r="C54" s="104" t="s">
        <v>106</v>
      </c>
      <c r="D54" s="95" t="s">
        <v>39</v>
      </c>
      <c r="E54" s="96">
        <v>46036</v>
      </c>
      <c r="F54" s="96">
        <v>46038</v>
      </c>
      <c r="G54" s="96">
        <v>46038</v>
      </c>
      <c r="H54" s="45" t="str">
        <f ca="1">IF(Datos!$G54&gt;0,Datos!$G54-Datos!$E54+1 &amp; " " &amp; Idiomas!$A$29,"")</f>
        <v>3 días</v>
      </c>
      <c r="I54" s="45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5" t="s">
        <v>40</v>
      </c>
      <c r="K54" s="46" t="str" cm="1">
        <f t="array" aca="1" ref="K54" ca="1">HYPERLINK("["&amp;Archivo_Nombre&amp;"]KANBAN!"&amp;IF(Tareas!$P53="","B2",Tareas!$P53),IF(Datos!$A54="","",Idiomas!$A$12&amp;" "&amp;ROW()-1))</f>
        <v>Tarea 53</v>
      </c>
    </row>
    <row r="55" spans="1:11" customFormat="1">
      <c r="A55" s="91" t="s">
        <v>2</v>
      </c>
      <c r="B55" s="92" t="s">
        <v>7</v>
      </c>
      <c r="C55" s="92" t="s">
        <v>107</v>
      </c>
      <c r="D55" s="92" t="s">
        <v>108</v>
      </c>
      <c r="E55" s="93">
        <v>45994</v>
      </c>
      <c r="F55" s="93">
        <v>45999</v>
      </c>
      <c r="G55" s="93">
        <v>45999</v>
      </c>
      <c r="H55" s="43" t="str">
        <f ca="1">IF(Datos!$G55&gt;0,Datos!$G55-Datos!$E55+1 &amp; " " &amp; Idiomas!$A$29,"")</f>
        <v>6 días</v>
      </c>
      <c r="I55" s="43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2" t="s">
        <v>25</v>
      </c>
      <c r="K55" s="44" t="str" cm="1">
        <f t="array" aca="1" ref="K55" ca="1">HYPERLINK("["&amp;Archivo_Nombre&amp;"]KANBAN!"&amp;IF(Tareas!$P54="","B2",Tareas!$P54),IF(Datos!$A55="","",Idiomas!$A$12&amp;" "&amp;ROW()-1))</f>
        <v>Tarea 54</v>
      </c>
    </row>
    <row r="56" spans="1:11" customFormat="1" ht="30.75">
      <c r="A56" s="94" t="s">
        <v>2</v>
      </c>
      <c r="B56" s="95" t="s">
        <v>3</v>
      </c>
      <c r="C56" s="104" t="s">
        <v>109</v>
      </c>
      <c r="D56" s="95" t="s">
        <v>110</v>
      </c>
      <c r="E56" s="96">
        <v>45994</v>
      </c>
      <c r="F56" s="96">
        <v>45999</v>
      </c>
      <c r="G56" s="96">
        <v>45999</v>
      </c>
      <c r="H56" s="45" t="str">
        <f ca="1">IF(Datos!$G56&gt;0,Datos!$G56-Datos!$E56+1 &amp; " " &amp; Idiomas!$A$29,"")</f>
        <v>6 días</v>
      </c>
      <c r="I56" s="45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5" t="s">
        <v>17</v>
      </c>
      <c r="K56" s="46" t="str" cm="1">
        <f t="array" aca="1" ref="K56" ca="1">HYPERLINK("["&amp;Archivo_Nombre&amp;"]KANBAN!"&amp;IF(Tareas!$P55="","B2",Tareas!$P55),IF(Datos!$A56="","",Idiomas!$A$12&amp;" "&amp;ROW()-1))</f>
        <v>Tarea 55</v>
      </c>
    </row>
    <row r="57" spans="1:11" customFormat="1" ht="30.75">
      <c r="A57" s="91" t="s">
        <v>2</v>
      </c>
      <c r="B57" s="92" t="s">
        <v>18</v>
      </c>
      <c r="C57" s="102" t="s">
        <v>111</v>
      </c>
      <c r="D57" s="92" t="s">
        <v>112</v>
      </c>
      <c r="E57" s="93">
        <v>45994</v>
      </c>
      <c r="F57" s="93">
        <v>45999</v>
      </c>
      <c r="G57" s="93">
        <v>45999</v>
      </c>
      <c r="H57" s="43" t="str">
        <f ca="1">IF(Datos!$G57&gt;0,Datos!$G57-Datos!$E57+1 &amp; " " &amp; Idiomas!$A$29,"")</f>
        <v>6 días</v>
      </c>
      <c r="I57" s="43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2" t="s">
        <v>6</v>
      </c>
      <c r="K57" s="44" t="str" cm="1">
        <f t="array" aca="1" ref="K57" ca="1">HYPERLINK("["&amp;Archivo_Nombre&amp;"]KANBAN!"&amp;IF(Tareas!$P56="","B2",Tareas!$P56),IF(Datos!$A57="","",Idiomas!$A$12&amp;" "&amp;ROW()-1))</f>
        <v>Tarea 56</v>
      </c>
    </row>
    <row r="58" spans="1:11" customFormat="1" ht="30.75">
      <c r="A58" s="94" t="s">
        <v>2</v>
      </c>
      <c r="B58" s="95" t="s">
        <v>18</v>
      </c>
      <c r="C58" s="104" t="s">
        <v>113</v>
      </c>
      <c r="D58" s="95" t="s">
        <v>114</v>
      </c>
      <c r="E58" s="96">
        <v>45994</v>
      </c>
      <c r="F58" s="96">
        <v>46001</v>
      </c>
      <c r="G58" s="96">
        <v>45999</v>
      </c>
      <c r="H58" s="45" t="str">
        <f ca="1">IF(Datos!$G58&gt;0,Datos!$G58-Datos!$E58+1 &amp; " " &amp; Idiomas!$A$29,"")</f>
        <v>6 días</v>
      </c>
      <c r="I58" s="45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5" t="s">
        <v>25</v>
      </c>
      <c r="K58" s="46" t="str" cm="1">
        <f t="array" aca="1" ref="K58" ca="1">HYPERLINK("["&amp;Archivo_Nombre&amp;"]KANBAN!"&amp;IF(Tareas!$P57="","B2",Tareas!$P57),IF(Datos!$A58="","",Idiomas!$A$12&amp;" "&amp;ROW()-1))</f>
        <v>Tarea 57</v>
      </c>
    </row>
    <row r="59" spans="1:11" customFormat="1" ht="15">
      <c r="A59" s="91" t="s">
        <v>2</v>
      </c>
      <c r="B59" s="92" t="s">
        <v>18</v>
      </c>
      <c r="C59" s="102" t="s">
        <v>101</v>
      </c>
      <c r="D59" s="92" t="s">
        <v>102</v>
      </c>
      <c r="E59" s="93">
        <v>45869</v>
      </c>
      <c r="F59" s="93">
        <v>45869</v>
      </c>
      <c r="G59" s="93">
        <v>45869</v>
      </c>
      <c r="H59" s="43" t="str">
        <f ca="1">IF(Datos!$G59&gt;0,Datos!$G59-Datos!$E59+1 &amp; " " &amp; Idiomas!$A$29,"")</f>
        <v>1 días</v>
      </c>
      <c r="I59" s="43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2" t="s">
        <v>17</v>
      </c>
      <c r="K59" s="44" t="str" cm="1">
        <f t="array" aca="1" ref="K59" ca="1">HYPERLINK("["&amp;Archivo_Nombre&amp;"]KANBAN!"&amp;IF(Tareas!$P58="","B2",Tareas!$P58),IF(Datos!$A59="","",Idiomas!$A$12&amp;" "&amp;ROW()-1))</f>
        <v>Tarea 58</v>
      </c>
    </row>
    <row r="60" spans="1:11" customFormat="1">
      <c r="A60" s="94" t="s">
        <v>115</v>
      </c>
      <c r="B60" s="95" t="s">
        <v>18</v>
      </c>
      <c r="C60" s="95" t="s">
        <v>116</v>
      </c>
      <c r="D60" s="95" t="s">
        <v>117</v>
      </c>
      <c r="E60" s="96">
        <v>45870</v>
      </c>
      <c r="F60" s="96">
        <v>45870</v>
      </c>
      <c r="G60" s="96">
        <v>45870</v>
      </c>
      <c r="H60" s="45" t="str">
        <f ca="1">IF(Datos!$G60&gt;0,Datos!$G60-Datos!$E60+1 &amp; " " &amp; Idiomas!$A$29,"")</f>
        <v>1 días</v>
      </c>
      <c r="I60" s="45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5" t="s">
        <v>17</v>
      </c>
      <c r="K60" s="46" t="str" cm="1">
        <f t="array" aca="1" ref="K60" ca="1">HYPERLINK("["&amp;Archivo_Nombre&amp;"]KANBAN!"&amp;IF(Tareas!$P59="","B2",Tareas!$P59),IF(Datos!$A60="","",Idiomas!$A$12&amp;" "&amp;ROW()-1))</f>
        <v>Tarea 59</v>
      </c>
    </row>
    <row r="61" spans="1:11" customFormat="1" ht="15">
      <c r="A61" s="91" t="s">
        <v>115</v>
      </c>
      <c r="B61" s="92" t="s">
        <v>18</v>
      </c>
      <c r="C61" s="102" t="s">
        <v>118</v>
      </c>
      <c r="D61" s="92" t="s">
        <v>119</v>
      </c>
      <c r="E61" s="93">
        <v>46055</v>
      </c>
      <c r="F61" s="93">
        <v>46055</v>
      </c>
      <c r="G61" s="93">
        <v>46055</v>
      </c>
      <c r="H61" s="43" t="str">
        <f ca="1">IF(Datos!$G61&gt;0,Datos!$G61-Datos!$E61+1 &amp; " " &amp; Idiomas!$A$29,"")</f>
        <v>1 días</v>
      </c>
      <c r="I61" s="43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2" t="s">
        <v>40</v>
      </c>
      <c r="K61" s="44" t="str" cm="1">
        <f t="array" aca="1" ref="K61" ca="1">HYPERLINK("["&amp;Archivo_Nombre&amp;"]KANBAN!"&amp;IF(Tareas!$P60="","B2",Tareas!$P60),IF(Datos!$A61="","",Idiomas!$A$12&amp;" "&amp;ROW()-1))</f>
        <v>Tarea 60</v>
      </c>
    </row>
    <row r="62" spans="1:11" customFormat="1">
      <c r="A62" s="94" t="s">
        <v>120</v>
      </c>
      <c r="B62" s="95" t="s">
        <v>7</v>
      </c>
      <c r="C62" s="95" t="s">
        <v>121</v>
      </c>
      <c r="D62" s="95" t="s">
        <v>122</v>
      </c>
      <c r="E62" s="96">
        <v>46000</v>
      </c>
      <c r="F62" s="96">
        <v>46043</v>
      </c>
      <c r="G62" s="96">
        <v>46001</v>
      </c>
      <c r="H62" s="45" t="str">
        <f ca="1">IF(Datos!$G62&gt;0,Datos!$G62-Datos!$E62+1 &amp; " " &amp; Idiomas!$A$29,"")</f>
        <v>2 días</v>
      </c>
      <c r="I62" s="45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5" t="s">
        <v>25</v>
      </c>
      <c r="K62" s="46" t="str" cm="1">
        <f t="array" aca="1" ref="K62" ca="1">HYPERLINK("["&amp;Archivo_Nombre&amp;"]KANBAN!"&amp;IF(Tareas!$P61="","B2",Tareas!$P61),IF(Datos!$A62="","",Idiomas!$A$12&amp;" "&amp;ROW()-1))</f>
        <v>Tarea 61</v>
      </c>
    </row>
    <row r="63" spans="1:11" customFormat="1" ht="30.75">
      <c r="A63" s="91" t="s">
        <v>120</v>
      </c>
      <c r="B63" s="92" t="s">
        <v>7</v>
      </c>
      <c r="C63" s="102" t="s">
        <v>123</v>
      </c>
      <c r="D63" s="92" t="s">
        <v>122</v>
      </c>
      <c r="E63" s="93">
        <v>46000</v>
      </c>
      <c r="F63" s="93">
        <v>46043</v>
      </c>
      <c r="G63" s="93">
        <v>46001</v>
      </c>
      <c r="H63" s="43" t="str">
        <f ca="1">IF(Datos!$G63&gt;0,Datos!$G63-Datos!$E63+1 &amp; " " &amp; Idiomas!$A$29,"")</f>
        <v>2 días</v>
      </c>
      <c r="I63" s="43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2" t="s">
        <v>25</v>
      </c>
      <c r="K63" s="44" t="str" cm="1">
        <f t="array" aca="1" ref="K63" ca="1">HYPERLINK("["&amp;Archivo_Nombre&amp;"]KANBAN!"&amp;IF(Tareas!$P62="","B2",Tareas!$P62),IF(Datos!$A63="","",Idiomas!$A$12&amp;" "&amp;ROW()-1))</f>
        <v>Tarea 62</v>
      </c>
    </row>
    <row r="64" spans="1:11" customFormat="1" ht="30.75">
      <c r="A64" s="94" t="s">
        <v>120</v>
      </c>
      <c r="B64" s="95" t="s">
        <v>18</v>
      </c>
      <c r="C64" s="104" t="s">
        <v>124</v>
      </c>
      <c r="D64" s="95"/>
      <c r="E64" s="96">
        <v>46001</v>
      </c>
      <c r="F64" s="96">
        <v>46043</v>
      </c>
      <c r="G64" s="96">
        <v>46002</v>
      </c>
      <c r="H64" s="45" t="str">
        <f ca="1">IF(Datos!$G64&gt;0,Datos!$G64-Datos!$E64+1 &amp; " " &amp; Idiomas!$A$29,"")</f>
        <v>2 días</v>
      </c>
      <c r="I64" s="45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5" t="s">
        <v>25</v>
      </c>
      <c r="K64" s="46" t="str" cm="1">
        <f t="array" aca="1" ref="K64" ca="1">HYPERLINK("["&amp;Archivo_Nombre&amp;"]KANBAN!"&amp;IF(Tareas!$P63="","B2",Tareas!$P63),IF(Datos!$A64="","",Idiomas!$A$12&amp;" "&amp;ROW()-1))</f>
        <v>Tarea 63</v>
      </c>
    </row>
    <row r="65" spans="1:11" customFormat="1" ht="30.75">
      <c r="A65" s="91" t="s">
        <v>120</v>
      </c>
      <c r="B65" s="92" t="s">
        <v>18</v>
      </c>
      <c r="C65" s="102" t="s">
        <v>125</v>
      </c>
      <c r="D65" s="92"/>
      <c r="E65" s="93">
        <v>46002</v>
      </c>
      <c r="F65" s="93">
        <v>46043</v>
      </c>
      <c r="G65" s="93">
        <v>46003</v>
      </c>
      <c r="H65" s="43" t="str">
        <f ca="1">IF(Datos!$G65&gt;0,Datos!$G65-Datos!$E65+1 &amp; " " &amp; Idiomas!$A$29,"")</f>
        <v>2 días</v>
      </c>
      <c r="I65" s="43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2" t="s">
        <v>25</v>
      </c>
      <c r="K65" s="44" t="str" cm="1">
        <f t="array" aca="1" ref="K65" ca="1">HYPERLINK("["&amp;Archivo_Nombre&amp;"]KANBAN!"&amp;IF(Tareas!$P64="","B2",Tareas!$P64),IF(Datos!$A65="","",Idiomas!$A$12&amp;" "&amp;ROW()-1))</f>
        <v>Tarea 64</v>
      </c>
    </row>
    <row r="66" spans="1:11" customFormat="1" ht="15">
      <c r="A66" s="94" t="s">
        <v>120</v>
      </c>
      <c r="B66" s="95" t="s">
        <v>7</v>
      </c>
      <c r="C66" s="104" t="s">
        <v>126</v>
      </c>
      <c r="D66" s="95"/>
      <c r="E66" s="96">
        <v>46002</v>
      </c>
      <c r="F66" s="96">
        <v>46043</v>
      </c>
      <c r="G66" s="96">
        <v>46003</v>
      </c>
      <c r="H66" s="45" t="str">
        <f ca="1">IF(Datos!$G66&gt;0,Datos!$G66-Datos!$E66+1 &amp; " " &amp; Idiomas!$A$29,"")</f>
        <v>2 días</v>
      </c>
      <c r="I66" s="45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5" t="s">
        <v>25</v>
      </c>
      <c r="K66" s="46" t="str" cm="1">
        <f t="array" aca="1" ref="K66" ca="1">HYPERLINK("["&amp;Archivo_Nombre&amp;"]KANBAN!"&amp;IF(Tareas!$P65="","B2",Tareas!$P65),IF(Datos!$A66="","",Idiomas!$A$12&amp;" "&amp;ROW()-1))</f>
        <v>Tarea 65</v>
      </c>
    </row>
    <row r="67" spans="1:11" customFormat="1" ht="15">
      <c r="A67" s="91" t="s">
        <v>120</v>
      </c>
      <c r="B67" s="92" t="s">
        <v>7</v>
      </c>
      <c r="C67" s="102" t="s">
        <v>127</v>
      </c>
      <c r="D67" s="92"/>
      <c r="E67" s="93">
        <v>46003</v>
      </c>
      <c r="F67" s="93">
        <v>46043</v>
      </c>
      <c r="G67" s="93">
        <v>46043</v>
      </c>
      <c r="H67" s="43" t="str">
        <f ca="1">IF(Datos!$G67&gt;0,Datos!$G67-Datos!$E67+1 &amp; " " &amp; Idiomas!$A$29,"")</f>
        <v>41 días</v>
      </c>
      <c r="I67" s="43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2" t="s">
        <v>25</v>
      </c>
      <c r="K67" s="44" t="str" cm="1">
        <f t="array" aca="1" ref="K67" ca="1">HYPERLINK("["&amp;Archivo_Nombre&amp;"]KANBAN!"&amp;IF(Tareas!$P66="","B2",Tareas!$P66),IF(Datos!$A67="","",Idiomas!$A$12&amp;" "&amp;ROW()-1))</f>
        <v>Tarea 66</v>
      </c>
    </row>
    <row r="68" spans="1:11" customFormat="1" ht="15">
      <c r="A68" s="94" t="s">
        <v>120</v>
      </c>
      <c r="B68" s="95" t="s">
        <v>7</v>
      </c>
      <c r="C68" s="104" t="s">
        <v>128</v>
      </c>
      <c r="D68" s="95"/>
      <c r="E68" s="96">
        <v>46036</v>
      </c>
      <c r="F68" s="96">
        <v>46050</v>
      </c>
      <c r="G68" s="96">
        <v>46043</v>
      </c>
      <c r="H68" s="45" t="str">
        <f ca="1">IF(Datos!$G68&gt;0,Datos!$G68-Datos!$E68+1 &amp; " " &amp; Idiomas!$A$29,"")</f>
        <v>8 días</v>
      </c>
      <c r="I68" s="45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5" t="s">
        <v>25</v>
      </c>
      <c r="K68" s="46" t="str" cm="1">
        <f t="array" aca="1" ref="K68" ca="1">HYPERLINK("["&amp;Archivo_Nombre&amp;"]KANBAN!"&amp;IF(Tareas!$P67="","B2",Tareas!$P67),IF(Datos!$A68="","",Idiomas!$A$12&amp;" "&amp;ROW()-1))</f>
        <v>Tarea 67</v>
      </c>
    </row>
    <row r="69" spans="1:11" customFormat="1" ht="15">
      <c r="A69" s="91" t="s">
        <v>120</v>
      </c>
      <c r="B69" s="92" t="s">
        <v>7</v>
      </c>
      <c r="C69" s="102" t="s">
        <v>129</v>
      </c>
      <c r="D69" s="92"/>
      <c r="E69" s="93">
        <v>46037</v>
      </c>
      <c r="F69" s="93">
        <v>46050</v>
      </c>
      <c r="G69" s="93">
        <v>46043</v>
      </c>
      <c r="H69" s="43" t="str">
        <f ca="1">IF(Datos!$G69&gt;0,Datos!$G69-Datos!$E69+1 &amp; " " &amp; Idiomas!$A$29,"")</f>
        <v>7 días</v>
      </c>
      <c r="I69" s="43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2" t="s">
        <v>25</v>
      </c>
      <c r="K69" s="44" t="str" cm="1">
        <f t="array" aca="1" ref="K69" ca="1">HYPERLINK("["&amp;Archivo_Nombre&amp;"]KANBAN!"&amp;IF(Tareas!$P68="","B2",Tareas!$P68),IF(Datos!$A69="","",Idiomas!$A$12&amp;" "&amp;ROW()-1))</f>
        <v>Tarea 68</v>
      </c>
    </row>
    <row r="70" spans="1:11" customFormat="1" ht="15">
      <c r="A70" s="94" t="s">
        <v>120</v>
      </c>
      <c r="B70" s="95" t="s">
        <v>7</v>
      </c>
      <c r="C70" s="104" t="s">
        <v>130</v>
      </c>
      <c r="D70" s="95"/>
      <c r="E70" s="96">
        <v>46039</v>
      </c>
      <c r="F70" s="96">
        <v>46051</v>
      </c>
      <c r="G70" s="96">
        <v>46043</v>
      </c>
      <c r="H70" s="45" t="str">
        <f ca="1">IF(Datos!$G70&gt;0,Datos!$G70-Datos!$E70+1 &amp; " " &amp; Idiomas!$A$29,"")</f>
        <v>5 días</v>
      </c>
      <c r="I70" s="45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5" t="s">
        <v>25</v>
      </c>
      <c r="K70" s="46" t="str" cm="1">
        <f t="array" aca="1" ref="K70" ca="1">HYPERLINK("["&amp;Archivo_Nombre&amp;"]KANBAN!"&amp;IF(Tareas!$P69="","B2",Tareas!$P69),IF(Datos!$A70="","",Idiomas!$A$12&amp;" "&amp;ROW()-1))</f>
        <v>Tarea 69</v>
      </c>
    </row>
    <row r="71" spans="1:11" customFormat="1" ht="30.75">
      <c r="A71" s="91" t="s">
        <v>120</v>
      </c>
      <c r="B71" s="92" t="s">
        <v>7</v>
      </c>
      <c r="C71" s="102" t="s">
        <v>131</v>
      </c>
      <c r="D71" s="92"/>
      <c r="E71" s="93">
        <v>46041</v>
      </c>
      <c r="F71" s="93">
        <v>46051</v>
      </c>
      <c r="G71" s="93">
        <v>46043</v>
      </c>
      <c r="H71" s="43" t="str">
        <f ca="1">IF(Datos!$G71&gt;0,Datos!$G71-Datos!$E71+1 &amp; " " &amp; Idiomas!$A$29,"")</f>
        <v>3 días</v>
      </c>
      <c r="I71" s="43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2" t="s">
        <v>25</v>
      </c>
      <c r="K71" s="44" t="str" cm="1">
        <f t="array" aca="1" ref="K71" ca="1">HYPERLINK("["&amp;Archivo_Nombre&amp;"]KANBAN!"&amp;IF(Tareas!$P70="","B2",Tareas!$P70),IF(Datos!$A71="","",Idiomas!$A$12&amp;" "&amp;ROW()-1))</f>
        <v>Tarea 70</v>
      </c>
    </row>
    <row r="72" spans="1:11" customFormat="1">
      <c r="A72" s="94"/>
      <c r="B72" s="95"/>
      <c r="C72" s="95"/>
      <c r="D72" s="95"/>
      <c r="E72" s="96"/>
      <c r="F72" s="96"/>
      <c r="G72" s="96"/>
      <c r="H72" s="45" t="str">
        <f ca="1">IF(Datos!$G72&gt;0,Datos!$G72-Datos!$E72+1 &amp; " " &amp; Idiomas!$A$29,"")</f>
        <v/>
      </c>
      <c r="I72" s="45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5"/>
      <c r="K72" s="46" t="str" cm="1">
        <f t="array" aca="1" ref="K72" ca="1">HYPERLINK("["&amp;Archivo_Nombre&amp;"]KANBAN!"&amp;IF(Tareas!$P71="","B2",Tareas!$P71),IF(Datos!$A72="","",Idiomas!$A$12&amp;" "&amp;ROW()-1))</f>
        <v/>
      </c>
    </row>
    <row r="73" spans="1:11" customFormat="1">
      <c r="A73" s="91"/>
      <c r="B73" s="92"/>
      <c r="C73" s="92"/>
      <c r="D73" s="92"/>
      <c r="E73" s="93"/>
      <c r="F73" s="93"/>
      <c r="G73" s="93"/>
      <c r="H73" s="43" t="str">
        <f ca="1">IF(Datos!$G73&gt;0,Datos!$G73-Datos!$E73+1 &amp; " " &amp; Idiomas!$A$29,"")</f>
        <v/>
      </c>
      <c r="I73" s="43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2"/>
      <c r="K73" s="44" t="str" cm="1">
        <f t="array" aca="1" ref="K73" ca="1">HYPERLINK("["&amp;Archivo_Nombre&amp;"]KANBAN!"&amp;IF(Tareas!$P72="","B2",Tareas!$P72),IF(Datos!$A73="","",Idiomas!$A$12&amp;" "&amp;ROW()-1))</f>
        <v/>
      </c>
    </row>
    <row r="74" spans="1:11" customFormat="1">
      <c r="A74" s="94"/>
      <c r="B74" s="95"/>
      <c r="C74" s="95"/>
      <c r="D74" s="95"/>
      <c r="E74" s="96"/>
      <c r="F74" s="96"/>
      <c r="G74" s="96"/>
      <c r="H74" s="45" t="str">
        <f ca="1">IF(Datos!$G74&gt;0,Datos!$G74-Datos!$E74+1 &amp; " " &amp; Idiomas!$A$29,"")</f>
        <v/>
      </c>
      <c r="I74" s="45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5"/>
      <c r="K74" s="46" t="str" cm="1">
        <f t="array" aca="1" ref="K74" ca="1">HYPERLINK("["&amp;Archivo_Nombre&amp;"]KANBAN!"&amp;IF(Tareas!$P73="","B2",Tareas!$P73),IF(Datos!$A74="","",Idiomas!$A$12&amp;" "&amp;ROW()-1))</f>
        <v/>
      </c>
    </row>
    <row r="75" spans="1:11" customFormat="1">
      <c r="A75" s="91"/>
      <c r="B75" s="92"/>
      <c r="C75" s="92"/>
      <c r="D75" s="92"/>
      <c r="E75" s="93"/>
      <c r="F75" s="93"/>
      <c r="G75" s="93"/>
      <c r="H75" s="43" t="str">
        <f ca="1">IF(Datos!$G75&gt;0,Datos!$G75-Datos!$E75+1 &amp; " " &amp; Idiomas!$A$29,"")</f>
        <v/>
      </c>
      <c r="I75" s="43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HYPERLINK("["&amp;Archivo_Nombre&amp;"]KANBAN!"&amp;IF(Tareas!$P74="","B2",Tareas!$P74),IF(Datos!$A75="","",Idiomas!$A$12&amp;" "&amp;ROW()-1))</f>
        <v/>
      </c>
    </row>
    <row r="76" spans="1:11" customFormat="1">
      <c r="A76" s="94"/>
      <c r="B76" s="95"/>
      <c r="C76" s="95"/>
      <c r="D76" s="95"/>
      <c r="E76" s="96"/>
      <c r="F76" s="96"/>
      <c r="G76" s="96"/>
      <c r="H76" s="45" t="str">
        <f ca="1">IF(Datos!$G76&gt;0,Datos!$G76-Datos!$E76+1 &amp; " " &amp; Idiomas!$A$29,"")</f>
        <v/>
      </c>
      <c r="I76" s="45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5"/>
      <c r="K76" s="46" t="str" cm="1">
        <f t="array" aca="1" ref="K76" ca="1">HYPERLINK("["&amp;Archivo_Nombre&amp;"]KANBAN!"&amp;IF(Tareas!$P75="","B2",Tareas!$P75),IF(Datos!$A76="","",Idiomas!$A$12&amp;" "&amp;ROW()-1))</f>
        <v/>
      </c>
    </row>
    <row r="77" spans="1:11" customFormat="1">
      <c r="A77" s="91"/>
      <c r="B77" s="92"/>
      <c r="C77" s="92"/>
      <c r="D77" s="92"/>
      <c r="E77" s="93"/>
      <c r="F77" s="93"/>
      <c r="G77" s="93"/>
      <c r="H77" s="43" t="str">
        <f ca="1">IF(Datos!$G77&gt;0,Datos!$G77-Datos!$E77+1 &amp; " " &amp; Idiomas!$A$29,"")</f>
        <v/>
      </c>
      <c r="I77" s="43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HYPERLINK("["&amp;Archivo_Nombre&amp;"]KANBAN!"&amp;IF(Tareas!$P76="","B2",Tareas!$P76),IF(Datos!$A77="","",Idiomas!$A$12&amp;" "&amp;ROW()-1))</f>
        <v/>
      </c>
    </row>
    <row r="78" spans="1:11" customFormat="1">
      <c r="A78" s="94"/>
      <c r="B78" s="95"/>
      <c r="C78" s="95"/>
      <c r="D78" s="95"/>
      <c r="E78" s="96"/>
      <c r="F78" s="96"/>
      <c r="G78" s="96"/>
      <c r="H78" s="45" t="str">
        <f ca="1">IF(Datos!$G78&gt;0,Datos!$G78-Datos!$E78+1 &amp; " " &amp; Idiomas!$A$29,"")</f>
        <v/>
      </c>
      <c r="I78" s="45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5"/>
      <c r="K78" s="46" t="str" cm="1">
        <f t="array" aca="1" ref="K78" ca="1">HYPERLINK("["&amp;Archivo_Nombre&amp;"]KANBAN!"&amp;IF(Tareas!$P77="","B2",Tareas!$P77),IF(Datos!$A78="","",Idiomas!$A$12&amp;" "&amp;ROW()-1))</f>
        <v/>
      </c>
    </row>
    <row r="79" spans="1:11" customFormat="1">
      <c r="A79" s="91"/>
      <c r="B79" s="92"/>
      <c r="C79" s="92"/>
      <c r="D79" s="92"/>
      <c r="E79" s="93"/>
      <c r="F79" s="93"/>
      <c r="G79" s="93"/>
      <c r="H79" s="43" t="str">
        <f ca="1">IF(Datos!$G79&gt;0,Datos!$G79-Datos!$E79+1 &amp; " " &amp; Idiomas!$A$29,"")</f>
        <v/>
      </c>
      <c r="I79" s="43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HYPERLINK("["&amp;Archivo_Nombre&amp;"]KANBAN!"&amp;IF(Tareas!$P78="","B2",Tareas!$P78),IF(Datos!$A79="","",Idiomas!$A$12&amp;" "&amp;ROW()-1))</f>
        <v/>
      </c>
    </row>
    <row r="80" spans="1:11" customFormat="1">
      <c r="A80" s="94"/>
      <c r="B80" s="95"/>
      <c r="C80" s="95"/>
      <c r="D80" s="95"/>
      <c r="E80" s="96"/>
      <c r="F80" s="96"/>
      <c r="G80" s="96"/>
      <c r="H80" s="45" t="str">
        <f ca="1">IF(Datos!$G80&gt;0,Datos!$G80-Datos!$E80+1 &amp; " " &amp; Idiomas!$A$29,"")</f>
        <v/>
      </c>
      <c r="I80" s="45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5"/>
      <c r="K80" s="46" t="str" cm="1">
        <f t="array" aca="1" ref="K80" ca="1">HYPERLINK("["&amp;Archivo_Nombre&amp;"]KANBAN!"&amp;IF(Tareas!$P79="","B2",Tareas!$P79),IF(Datos!$A80="","",Idiomas!$A$12&amp;" "&amp;ROW()-1))</f>
        <v/>
      </c>
    </row>
    <row r="81" spans="1:11" customFormat="1">
      <c r="A81" s="91"/>
      <c r="B81" s="92"/>
      <c r="C81" s="92"/>
      <c r="D81" s="92"/>
      <c r="E81" s="93"/>
      <c r="F81" s="93"/>
      <c r="G81" s="93"/>
      <c r="H81" s="43" t="str">
        <f ca="1">IF(Datos!$G81&gt;0,Datos!$G81-Datos!$E81+1 &amp; " " &amp; Idiomas!$A$29,"")</f>
        <v/>
      </c>
      <c r="I81" s="43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HYPERLINK("["&amp;Archivo_Nombre&amp;"]KANBAN!"&amp;IF(Tareas!$P80="","B2",Tareas!$P80),IF(Datos!$A81="","",Idiomas!$A$12&amp;" "&amp;ROW()-1))</f>
        <v/>
      </c>
    </row>
    <row r="82" spans="1:11" customFormat="1">
      <c r="A82" s="94"/>
      <c r="B82" s="95"/>
      <c r="C82" s="95"/>
      <c r="D82" s="95"/>
      <c r="E82" s="96"/>
      <c r="F82" s="96"/>
      <c r="G82" s="96"/>
      <c r="H82" s="45" t="str">
        <f ca="1">IF(Datos!$G82&gt;0,Datos!$G82-Datos!$E82+1 &amp; " " &amp; Idiomas!$A$29,"")</f>
        <v/>
      </c>
      <c r="I82" s="45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5"/>
      <c r="K82" s="46" t="str" cm="1">
        <f t="array" aca="1" ref="K82" ca="1">HYPERLINK("["&amp;Archivo_Nombre&amp;"]KANBAN!"&amp;IF(Tareas!$P81="","B2",Tareas!$P81),IF(Datos!$A82="","",Idiomas!$A$12&amp;" "&amp;ROW()-1))</f>
        <v/>
      </c>
    </row>
    <row r="83" spans="1:11" customFormat="1">
      <c r="A83" s="91"/>
      <c r="B83" s="92"/>
      <c r="C83" s="92"/>
      <c r="D83" s="92"/>
      <c r="E83" s="93"/>
      <c r="F83" s="93"/>
      <c r="G83" s="93"/>
      <c r="H83" s="43" t="str">
        <f ca="1">IF(Datos!$G83&gt;0,Datos!$G83-Datos!$E83+1 &amp; " " &amp; Idiomas!$A$29,"")</f>
        <v/>
      </c>
      <c r="I83" s="43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HYPERLINK("["&amp;Archivo_Nombre&amp;"]KANBAN!"&amp;IF(Tareas!$P82="","B2",Tareas!$P82),IF(Datos!$A83="","",Idiomas!$A$12&amp;" "&amp;ROW()-1))</f>
        <v/>
      </c>
    </row>
    <row r="84" spans="1:11" customFormat="1">
      <c r="A84" s="94"/>
      <c r="B84" s="95"/>
      <c r="C84" s="95"/>
      <c r="D84" s="95"/>
      <c r="E84" s="96"/>
      <c r="F84" s="96"/>
      <c r="G84" s="96"/>
      <c r="H84" s="45" t="str">
        <f ca="1">IF(Datos!$G84&gt;0,Datos!$G84-Datos!$E84+1 &amp; " " &amp; Idiomas!$A$29,"")</f>
        <v/>
      </c>
      <c r="I84" s="45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5"/>
      <c r="K84" s="46" t="str" cm="1">
        <f t="array" aca="1" ref="K84" ca="1">HYPERLINK("["&amp;Archivo_Nombre&amp;"]KANBAN!"&amp;IF(Tareas!$P83="","B2",Tareas!$P83),IF(Datos!$A84="","",Idiomas!$A$12&amp;" "&amp;ROW()-1))</f>
        <v/>
      </c>
    </row>
    <row r="85" spans="1:11" customFormat="1">
      <c r="A85" s="91"/>
      <c r="B85" s="92"/>
      <c r="C85" s="92"/>
      <c r="D85" s="92"/>
      <c r="E85" s="93"/>
      <c r="F85" s="93"/>
      <c r="G85" s="93"/>
      <c r="H85" s="43" t="str">
        <f ca="1">IF(Datos!$G85&gt;0,Datos!$G85-Datos!$E85+1 &amp; " " &amp; Idiomas!$A$29,"")</f>
        <v/>
      </c>
      <c r="I85" s="43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2"/>
      <c r="K85" s="44" t="str" cm="1">
        <f t="array" aca="1" ref="K85" ca="1">HYPERLINK("["&amp;Archivo_Nombre&amp;"]KANBAN!"&amp;IF(Tareas!$P84="","B2",Tareas!$P84),IF(Datos!$A85="","",Idiomas!$A$12&amp;" "&amp;ROW()-1))</f>
        <v/>
      </c>
    </row>
    <row r="86" spans="1:11" customFormat="1" ht="43.5">
      <c r="A86" s="94" t="s">
        <v>2</v>
      </c>
      <c r="B86" s="95" t="s">
        <v>3</v>
      </c>
      <c r="C86" s="104" t="s">
        <v>132</v>
      </c>
      <c r="D86" s="104" t="s">
        <v>133</v>
      </c>
      <c r="E86" s="96">
        <v>45687</v>
      </c>
      <c r="F86" s="96">
        <v>45687</v>
      </c>
      <c r="G86" s="96">
        <v>45687</v>
      </c>
      <c r="H86" s="45" t="str">
        <f ca="1">IF(Datos!$G86&gt;0,Datos!$G86-Datos!$E86+1 &amp; " " &amp; Idiomas!$A$29,"")</f>
        <v>1 días</v>
      </c>
      <c r="I86" s="45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>0 días</v>
      </c>
      <c r="J86" s="95" t="s">
        <v>134</v>
      </c>
      <c r="K86" s="46" t="str" cm="1">
        <f t="array" aca="1" ref="K86" ca="1">HYPERLINK("["&amp;Archivo_Nombre&amp;"]KANBAN!"&amp;IF(Tareas!$P85="","B2",Tareas!$P85),IF(Datos!$A86="","",Idiomas!$A$12&amp;" "&amp;ROW()-1))</f>
        <v>Tarea 85</v>
      </c>
    </row>
    <row r="87" spans="1:11" customFormat="1">
      <c r="A87" s="91"/>
      <c r="B87" s="92"/>
      <c r="C87" s="92"/>
      <c r="D87" s="92"/>
      <c r="E87" s="93"/>
      <c r="F87" s="93"/>
      <c r="G87" s="93"/>
      <c r="H87" s="43" t="str">
        <f ca="1">IF(Datos!$G87&gt;0,Datos!$G87-Datos!$E87+1 &amp; " " &amp; Idiomas!$A$29,"")</f>
        <v/>
      </c>
      <c r="I87" s="43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HYPERLINK("["&amp;Archivo_Nombre&amp;"]KANBAN!"&amp;IF(Tareas!$P86="","B2",Tareas!$P86),IF(Datos!$A87="","",Idiomas!$A$12&amp;" "&amp;ROW()-1))</f>
        <v/>
      </c>
    </row>
    <row r="88" spans="1:11" customFormat="1">
      <c r="A88" s="94"/>
      <c r="B88" s="95"/>
      <c r="C88" s="95"/>
      <c r="D88" s="95"/>
      <c r="E88" s="96"/>
      <c r="F88" s="96"/>
      <c r="G88" s="96"/>
      <c r="H88" s="45" t="str">
        <f ca="1">IF(Datos!$G88&gt;0,Datos!$G88-Datos!$E88+1 &amp; " " &amp; Idiomas!$A$29,"")</f>
        <v/>
      </c>
      <c r="I88" s="45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5"/>
      <c r="K88" s="46" t="str" cm="1">
        <f t="array" aca="1" ref="K88" ca="1">HYPERLINK("["&amp;Archivo_Nombre&amp;"]KANBAN!"&amp;IF(Tareas!$P87="","B2",Tareas!$P87),IF(Datos!$A88="","",Idiomas!$A$12&amp;" "&amp;ROW()-1))</f>
        <v/>
      </c>
    </row>
    <row r="89" spans="1:11" customFormat="1">
      <c r="A89" s="91"/>
      <c r="B89" s="92"/>
      <c r="C89" s="92"/>
      <c r="D89" s="92"/>
      <c r="E89" s="93"/>
      <c r="F89" s="93"/>
      <c r="G89" s="93"/>
      <c r="H89" s="43" t="str">
        <f ca="1">IF(Datos!$G89&gt;0,Datos!$G89-Datos!$E89+1 &amp; " " &amp; Idiomas!$A$29,"")</f>
        <v/>
      </c>
      <c r="I89" s="43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HYPERLINK("["&amp;Archivo_Nombre&amp;"]KANBAN!"&amp;IF(Tareas!$P88="","B2",Tareas!$P88),IF(Datos!$A89="","",Idiomas!$A$12&amp;" "&amp;ROW()-1))</f>
        <v/>
      </c>
    </row>
    <row r="90" spans="1:11" customFormat="1">
      <c r="A90" s="94"/>
      <c r="B90" s="95"/>
      <c r="C90" s="95"/>
      <c r="D90" s="95"/>
      <c r="E90" s="96"/>
      <c r="F90" s="96"/>
      <c r="G90" s="96"/>
      <c r="H90" s="45" t="str">
        <f ca="1">IF(Datos!$G90&gt;0,Datos!$G90-Datos!$E90+1 &amp; " " &amp; Idiomas!$A$29,"")</f>
        <v/>
      </c>
      <c r="I90" s="45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5"/>
      <c r="K90" s="46" t="str" cm="1">
        <f t="array" aca="1" ref="K90" ca="1">HYPERLINK("["&amp;Archivo_Nombre&amp;"]KANBAN!"&amp;IF(Tareas!$P89="","B2",Tareas!$P89),IF(Datos!$A90="","",Idiomas!$A$12&amp;" "&amp;ROW()-1))</f>
        <v/>
      </c>
    </row>
    <row r="91" spans="1:11" customFormat="1">
      <c r="A91" s="91"/>
      <c r="B91" s="92"/>
      <c r="C91" s="92"/>
      <c r="D91" s="92"/>
      <c r="E91" s="93"/>
      <c r="F91" s="93"/>
      <c r="G91" s="93"/>
      <c r="H91" s="43" t="str">
        <f ca="1">IF(Datos!$G91&gt;0,Datos!$G91-Datos!$E91+1 &amp; " " &amp; Idiomas!$A$29,"")</f>
        <v/>
      </c>
      <c r="I91" s="43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HYPERLINK("["&amp;Archivo_Nombre&amp;"]KANBAN!"&amp;IF(Tareas!$P90="","B2",Tareas!$P90),IF(Datos!$A91="","",Idiomas!$A$12&amp;" "&amp;ROW()-1))</f>
        <v/>
      </c>
    </row>
    <row r="92" spans="1:11" customFormat="1">
      <c r="A92" s="94"/>
      <c r="B92" s="95"/>
      <c r="C92" s="95"/>
      <c r="D92" s="95"/>
      <c r="E92" s="96"/>
      <c r="F92" s="96"/>
      <c r="G92" s="96"/>
      <c r="H92" s="45" t="str">
        <f ca="1">IF(Datos!$G92&gt;0,Datos!$G92-Datos!$E92+1 &amp; " " &amp; Idiomas!$A$29,"")</f>
        <v/>
      </c>
      <c r="I92" s="45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5"/>
      <c r="K92" s="46" t="str" cm="1">
        <f t="array" aca="1" ref="K92" ca="1">HYPERLINK("["&amp;Archivo_Nombre&amp;"]KANBAN!"&amp;IF(Tareas!$P91="","B2",Tareas!$P91),IF(Datos!$A92="","",Idiomas!$A$12&amp;" "&amp;ROW()-1))</f>
        <v/>
      </c>
    </row>
    <row r="93" spans="1:11" customFormat="1">
      <c r="A93" s="91"/>
      <c r="B93" s="92"/>
      <c r="C93" s="92"/>
      <c r="D93" s="92"/>
      <c r="E93" s="93"/>
      <c r="F93" s="93"/>
      <c r="G93" s="93"/>
      <c r="H93" s="43" t="str">
        <f ca="1">IF(Datos!$G93&gt;0,Datos!$G93-Datos!$E93+1 &amp; " " &amp; Idiomas!$A$29,"")</f>
        <v/>
      </c>
      <c r="I93" s="43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HYPERLINK("["&amp;Archivo_Nombre&amp;"]KANBAN!"&amp;IF(Tareas!$P92="","B2",Tareas!$P92),IF(Datos!$A93="","",Idiomas!$A$12&amp;" "&amp;ROW()-1))</f>
        <v/>
      </c>
    </row>
    <row r="94" spans="1:11" customFormat="1">
      <c r="A94" s="94"/>
      <c r="B94" s="95"/>
      <c r="C94" s="95"/>
      <c r="D94" s="95"/>
      <c r="E94" s="96"/>
      <c r="F94" s="96"/>
      <c r="G94" s="96"/>
      <c r="H94" s="45" t="str">
        <f ca="1">IF(Datos!$G94&gt;0,Datos!$G94-Datos!$E94+1 &amp; " " &amp; Idiomas!$A$29,"")</f>
        <v/>
      </c>
      <c r="I94" s="45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5"/>
      <c r="K94" s="46" t="str" cm="1">
        <f t="array" aca="1" ref="K94" ca="1">HYPERLINK("["&amp;Archivo_Nombre&amp;"]KANBAN!"&amp;IF(Tareas!$P93="","B2",Tareas!$P93),IF(Datos!$A94="","",Idiomas!$A$12&amp;" "&amp;ROW()-1))</f>
        <v/>
      </c>
    </row>
    <row r="95" spans="1:11" customFormat="1">
      <c r="A95" s="91"/>
      <c r="B95" s="92"/>
      <c r="C95" s="92"/>
      <c r="D95" s="92"/>
      <c r="E95" s="93"/>
      <c r="F95" s="93"/>
      <c r="G95" s="93"/>
      <c r="H95" s="43" t="str">
        <f ca="1">IF(Datos!$G95&gt;0,Datos!$G95-Datos!$E95+1 &amp; " " &amp; Idiomas!$A$29,"")</f>
        <v/>
      </c>
      <c r="I95" s="43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HYPERLINK("["&amp;Archivo_Nombre&amp;"]KANBAN!"&amp;IF(Tareas!$P94="","B2",Tareas!$P94),IF(Datos!$A95="","",Idiomas!$A$12&amp;" "&amp;ROW()-1))</f>
        <v/>
      </c>
    </row>
    <row r="96" spans="1:11" customFormat="1">
      <c r="A96" s="94"/>
      <c r="B96" s="95"/>
      <c r="C96" s="95"/>
      <c r="D96" s="95"/>
      <c r="E96" s="96"/>
      <c r="F96" s="96"/>
      <c r="G96" s="96"/>
      <c r="H96" s="45" t="str">
        <f ca="1">IF(Datos!$G96&gt;0,Datos!$G96-Datos!$E96+1 &amp; " " &amp; Idiomas!$A$29,"")</f>
        <v/>
      </c>
      <c r="I96" s="45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5"/>
      <c r="K96" s="46" t="str" cm="1">
        <f t="array" aca="1" ref="K96" ca="1">HYPERLINK("["&amp;Archivo_Nombre&amp;"]KANBAN!"&amp;IF(Tareas!$P95="","B2",Tareas!$P95),IF(Datos!$A96="","",Idiomas!$A$12&amp;" "&amp;ROW()-1))</f>
        <v/>
      </c>
    </row>
    <row r="97" spans="1:11" customFormat="1">
      <c r="A97" s="91"/>
      <c r="B97" s="92"/>
      <c r="C97" s="92"/>
      <c r="D97" s="92"/>
      <c r="E97" s="93"/>
      <c r="F97" s="93"/>
      <c r="G97" s="93"/>
      <c r="H97" s="43" t="str">
        <f ca="1">IF(Datos!$G97&gt;0,Datos!$G97-Datos!$E97+1 &amp; " " &amp; Idiomas!$A$29,"")</f>
        <v/>
      </c>
      <c r="I97" s="43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HYPERLINK("["&amp;Archivo_Nombre&amp;"]KANBAN!"&amp;IF(Tareas!$P96="","B2",Tareas!$P96),IF(Datos!$A97="","",Idiomas!$A$12&amp;" "&amp;ROW()-1))</f>
        <v/>
      </c>
    </row>
    <row r="98" spans="1:11" customFormat="1">
      <c r="A98" s="94"/>
      <c r="B98" s="95"/>
      <c r="C98" s="95"/>
      <c r="D98" s="95"/>
      <c r="E98" s="96"/>
      <c r="F98" s="96"/>
      <c r="G98" s="96"/>
      <c r="H98" s="45" t="str">
        <f ca="1">IF(Datos!$G98&gt;0,Datos!$G98-Datos!$E98+1 &amp; " " &amp; Idiomas!$A$29,"")</f>
        <v/>
      </c>
      <c r="I98" s="45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5"/>
      <c r="K98" s="46" t="str" cm="1">
        <f t="array" aca="1" ref="K98" ca="1">HYPERLINK("["&amp;Archivo_Nombre&amp;"]KANBAN!"&amp;IF(Tareas!$P97="","B2",Tareas!$P97),IF(Datos!$A98="","",Idiomas!$A$12&amp;" "&amp;ROW()-1))</f>
        <v/>
      </c>
    </row>
    <row r="99" spans="1:11" customFormat="1">
      <c r="A99" s="91"/>
      <c r="B99" s="92"/>
      <c r="C99" s="92"/>
      <c r="D99" s="92"/>
      <c r="E99" s="93"/>
      <c r="F99" s="93"/>
      <c r="G99" s="93"/>
      <c r="H99" s="43" t="str">
        <f ca="1">IF(Datos!$G99&gt;0,Datos!$G99-Datos!$E99+1 &amp; " " &amp; Idiomas!$A$29,"")</f>
        <v/>
      </c>
      <c r="I99" s="43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HYPERLINK("["&amp;Archivo_Nombre&amp;"]KANBAN!"&amp;IF(Tareas!$P98="","B2",Tareas!$P98),IF(Datos!$A99="","",Idiomas!$A$12&amp;" "&amp;ROW()-1))</f>
        <v/>
      </c>
    </row>
    <row r="100" spans="1:11" customFormat="1">
      <c r="A100" s="94"/>
      <c r="B100" s="95"/>
      <c r="C100" s="95"/>
      <c r="D100" s="95"/>
      <c r="E100" s="96"/>
      <c r="F100" s="96"/>
      <c r="G100" s="96"/>
      <c r="H100" s="45" t="str">
        <f ca="1">IF(Datos!$G100&gt;0,Datos!$G100-Datos!$E100+1 &amp; " " &amp; Idiomas!$A$29,"")</f>
        <v/>
      </c>
      <c r="I100" s="45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5"/>
      <c r="K100" s="46" t="str" cm="1">
        <f t="array" aca="1" ref="K100" ca="1">HYPERLINK("["&amp;Archivo_Nombre&amp;"]KANBAN!"&amp;IF(Tareas!$P99="","B2",Tareas!$P99),IF(Datos!$A100="","",Idiomas!$A$12&amp;" "&amp;ROW()-1))</f>
        <v/>
      </c>
    </row>
    <row r="101" spans="1:11" customFormat="1">
      <c r="A101" s="91"/>
      <c r="B101" s="92"/>
      <c r="C101" s="92"/>
      <c r="D101" s="92"/>
      <c r="E101" s="93"/>
      <c r="F101" s="93"/>
      <c r="G101" s="93"/>
      <c r="H101" s="43" t="str">
        <f ca="1">IF(Datos!$G101&gt;0,Datos!$G101-Datos!$E101+1 &amp; " " &amp; Idiomas!$A$29,"")</f>
        <v/>
      </c>
      <c r="I101" s="43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92"/>
      <c r="K101" s="44" t="str" cm="1">
        <f t="array" aca="1" ref="K101" ca="1">HYPERLINK("["&amp;Archivo_Nombre&amp;"]KANBAN!"&amp;IF(Tareas!$P100="","B2",Tareas!$P100),IF(Datos!$A101="","",Idiomas!$A$12&amp;" "&amp;ROW()-1))</f>
        <v/>
      </c>
    </row>
    <row r="102" spans="1:11" customFormat="1">
      <c r="A102" s="99"/>
      <c r="B102" s="100"/>
      <c r="C102" s="100"/>
      <c r="D102" s="100"/>
      <c r="E102" s="101"/>
      <c r="F102" s="101"/>
      <c r="G102" s="101"/>
      <c r="H102" s="47" t="str">
        <f ca="1">IF(Datos!$G102&gt;0,Datos!$G102-Datos!$E102+1 &amp; " " &amp; Idiomas!$A$29,"")</f>
        <v/>
      </c>
      <c r="I102" s="47" t="str" cm="1">
        <f t="array" aca="1" ref="I102" ca="1">IF(OR(Datos!$G102="",Datos!$A102=""),"",IF(AND(Datos!$G102=0,Datos!$F102&gt;0,Fecha_Hoy&gt;Datos!$F102),Fecha_Hoy-Datos!$F102,IF(Datos!$F102&lt;Datos!$G102,Datos!$G102-Datos!$F102,0))&amp; " " &amp; Idiomas!$A$29)</f>
        <v/>
      </c>
      <c r="J102" s="100"/>
      <c r="K102" s="48" t="str" cm="1">
        <f t="array" aca="1" ref="K102" ca="1">HYPERLINK("["&amp;Archivo_Nombre&amp;"]KANBAN!"&amp;IF(Tareas!$P101="","B2",Tareas!$P101),IF(Datos!$A102="","",Idiomas!$A$12&amp;" "&amp;ROW()-1))</f>
        <v/>
      </c>
    </row>
  </sheetData>
  <sheetProtection sheet="1" objects="1" scenarios="1" autoFilter="0"/>
  <autoFilter ref="A1:K102" xr:uid="{00000000-0001-0000-0100-000000000000}"/>
  <phoneticPr fontId="2" type="noConversion"/>
  <conditionalFormatting sqref="E5:E102">
    <cfRule type="expression" dxfId="18" priority="2" stopIfTrue="1">
      <formula>AND($A5&lt;&gt;"",$E5="")</formula>
    </cfRule>
  </conditionalFormatting>
  <conditionalFormatting sqref="I2:I102">
    <cfRule type="expression" dxfId="17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E4 E11:E13 E49:E102 F2:F15 F17:G17 F47:G102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B2:B45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K2:K46</xm:sqref>
        </x14:conditionalFormatting>
        <x14:conditionalFormatting xmlns:xm="http://schemas.microsoft.com/office/excel/2006/main">
          <x14:cfRule type="expression" priority="76" stopIfTrue="1" id="{00000000-000E-0000-0100-000002000000}">
            <xm:f>Tareas!$C45=3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7" stopIfTrue="1" id="{00000000-000E-0000-0100-000003000000}">
            <xm:f>Tareas!$C45=2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8" stopIfTrue="1" id="{00000000-000E-0000-0100-000004000000}">
            <xm:f>Tareas!$C45=1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B46:B102</xm:sqref>
        </x14:conditionalFormatting>
        <x14:conditionalFormatting xmlns:xm="http://schemas.microsoft.com/office/excel/2006/main">
          <x14:cfRule type="expression" priority="80" stopIfTrue="1" id="{00000000-000E-0000-0100-000005000000}">
            <xm:f>Tareas!$D46=0</xm:f>
            <x14:dxf>
              <font>
                <b val="0"/>
                <i val="0"/>
                <color rgb="FFFF0000"/>
              </font>
            </x14:dxf>
          </x14:cfRule>
          <xm:sqref>K47:K102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A2:A61 A63:A102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B2:B102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8" workbookViewId="0">
      <selection activeCell="D18" sqref="D18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12" t="str">
        <f ca="1">"                " &amp; Idiomas!$A$2 &amp; " v3 ©️            "</f>
        <v xml:space="preserve">                Tablero KANBAN v3 ©️            </v>
      </c>
      <c r="C2" s="112"/>
      <c r="E2" s="7" t="s">
        <v>135</v>
      </c>
      <c r="F2" s="119" t="str">
        <f ca="1">Idiomas!$A$2 &amp; " | #ExcelPedroWave"</f>
        <v>Tablero KANBAN | #ExcelPedroWave</v>
      </c>
      <c r="G2" s="119"/>
      <c r="H2" s="119"/>
    </row>
    <row r="3" spans="2:9" ht="15" customHeight="1">
      <c r="E3" s="8" t="s">
        <v>136</v>
      </c>
      <c r="F3" s="119" t="s">
        <v>137</v>
      </c>
      <c r="G3" s="119"/>
      <c r="H3" s="119"/>
    </row>
    <row r="4" spans="2:9">
      <c r="B4" s="89" t="str">
        <f ca="1">Idiomas!$A$3</f>
        <v>Idioma</v>
      </c>
      <c r="E4" s="8" t="s">
        <v>138</v>
      </c>
      <c r="F4" s="120" t="s">
        <v>139</v>
      </c>
      <c r="G4" s="120"/>
      <c r="H4" s="120"/>
    </row>
    <row r="5" spans="2:9" ht="15" customHeight="1">
      <c r="B5" s="90" t="s">
        <v>140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141</v>
      </c>
    </row>
    <row r="9" spans="2:9">
      <c r="B9" s="75" t="s">
        <v>115</v>
      </c>
      <c r="D9" s="72" t="s">
        <v>18</v>
      </c>
      <c r="F9" s="68" t="s">
        <v>6</v>
      </c>
      <c r="H9" s="66" t="str">
        <f ca="1">Idiomas!$A$12</f>
        <v>Tarea</v>
      </c>
      <c r="I9" s="85">
        <v>1</v>
      </c>
    </row>
    <row r="10" spans="2:9">
      <c r="B10" s="76" t="s">
        <v>120</v>
      </c>
      <c r="D10" s="73" t="s">
        <v>7</v>
      </c>
      <c r="F10" s="69" t="s">
        <v>17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142</v>
      </c>
      <c r="D11" s="74" t="s">
        <v>3</v>
      </c>
      <c r="F11" s="70" t="s">
        <v>25</v>
      </c>
      <c r="H11" s="79" t="str">
        <f ca="1">Idiomas!$A$14</f>
        <v>Inicio</v>
      </c>
      <c r="I11" s="86">
        <v>3</v>
      </c>
    </row>
    <row r="12" spans="2:9" ht="15">
      <c r="B12" s="76" t="s">
        <v>2</v>
      </c>
      <c r="F12" s="69" t="s">
        <v>10</v>
      </c>
      <c r="H12" s="67" t="str">
        <f ca="1">Idiomas!$A$15</f>
        <v>Previsto</v>
      </c>
      <c r="I12" s="87">
        <v>4</v>
      </c>
    </row>
    <row r="13" spans="2:9" ht="15">
      <c r="B13" s="77" t="s">
        <v>143</v>
      </c>
      <c r="F13" s="70" t="s">
        <v>40</v>
      </c>
      <c r="H13" s="79" t="str">
        <f ca="1">Idiomas!$A$16</f>
        <v>Final</v>
      </c>
      <c r="I13" s="86">
        <v>5</v>
      </c>
    </row>
    <row r="14" spans="2:9" ht="15">
      <c r="B14" s="76" t="s">
        <v>115</v>
      </c>
      <c r="F14" s="68"/>
      <c r="H14" s="67" t="str">
        <f ca="1">Idiomas!$A$17</f>
        <v>Duración</v>
      </c>
      <c r="I14" s="87">
        <v>6</v>
      </c>
    </row>
    <row r="15" spans="2:9" ht="15">
      <c r="B15" s="77" t="s">
        <v>120</v>
      </c>
      <c r="F15" s="69"/>
      <c r="H15" s="79" t="str">
        <f ca="1">Idiomas!$A$18</f>
        <v>Retraso</v>
      </c>
      <c r="I15" s="86">
        <v>7</v>
      </c>
    </row>
    <row r="16" spans="2:9" ht="15" thickBot="1">
      <c r="B16" s="76"/>
      <c r="F16" s="70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144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142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16" t="s">
        <v>145</v>
      </c>
      <c r="C23" s="117"/>
      <c r="D23" s="118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146</v>
      </c>
      <c r="F1" s="50" t="s">
        <v>147</v>
      </c>
      <c r="G1" s="50" t="s">
        <v>148</v>
      </c>
      <c r="H1" s="50" t="s">
        <v>149</v>
      </c>
      <c r="I1" s="50" t="s">
        <v>150</v>
      </c>
      <c r="J1" s="50" t="s">
        <v>151</v>
      </c>
      <c r="K1" s="50" t="s">
        <v>152</v>
      </c>
      <c r="L1" s="50" t="s">
        <v>153</v>
      </c>
      <c r="M1" s="50" t="s">
        <v>154</v>
      </c>
      <c r="N1" s="50" t="s">
        <v>155</v>
      </c>
      <c r="O1" s="50" t="str">
        <f ca="1">Idiomas!$A$21</f>
        <v>Celda</v>
      </c>
      <c r="P1" s="51" t="s">
        <v>156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>
      <c r="A24" s="52" t="str">
        <f ca="1"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>
      <c r="A25" s="56" t="str">
        <f ca="1"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>
      <c r="A26" s="52" t="str">
        <f ca="1"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>
      <c r="A27" s="56" t="str">
        <f ca="1"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>
      <c r="A28" s="52" t="str">
        <f ca="1"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>
      <c r="A29" s="56" t="str">
        <f ca="1"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>
      <c r="A30" s="52" t="str">
        <f ca="1"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>
      <c r="A31" s="56" t="str">
        <f ca="1"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>
      <c r="A32" s="52" t="str">
        <f ca="1"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>
      <c r="A33" s="56" t="str">
        <f ca="1"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>
      <c r="A34" s="52" t="str">
        <f ca="1"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>
      <c r="A35" s="56" t="str">
        <f ca="1"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>
      <c r="A36" s="52" t="str">
        <f ca="1"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>
      <c r="A37" s="56" t="str">
        <f ca="1"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>
      <c r="A38" s="52" t="str">
        <f ca="1"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R-195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R-195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R195:R202</v>
      </c>
    </row>
    <row r="39" spans="1:16" ht="15.6" thickTop="1" thickBot="1">
      <c r="A39" s="56" t="str">
        <f ca="1"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R-186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R-186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R186:R193</v>
      </c>
    </row>
    <row r="40" spans="1:16" ht="15.6" thickTop="1" thickBot="1">
      <c r="A40" s="52" t="str">
        <f ca="1"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R-177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R-177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R177:R184</v>
      </c>
    </row>
    <row r="41" spans="1:16" ht="15.6" thickTop="1" thickBot="1">
      <c r="A41" s="56" t="str">
        <f ca="1"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R-168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R-168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R168:R175</v>
      </c>
    </row>
    <row r="42" spans="1:16" ht="15.6" thickTop="1" thickBot="1">
      <c r="A42" s="52" t="str">
        <f ca="1"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R-159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R-159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R159:R166</v>
      </c>
    </row>
    <row r="43" spans="1:16" ht="15.6" thickTop="1" thickBot="1">
      <c r="A43" s="56" t="str">
        <f ca="1"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R-150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R-150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R150:R157</v>
      </c>
    </row>
    <row r="44" spans="1:16" ht="15.6" thickTop="1" thickBot="1">
      <c r="A44" s="52" t="str">
        <f ca="1"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R-141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R-141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R141:R148</v>
      </c>
    </row>
    <row r="45" spans="1:16" ht="15.6" thickTop="1" thickBot="1">
      <c r="A45" s="56" t="str">
        <f ca="1">IFERROR(IF(Datos!$A46="","",Idiomas!$A$12&amp;" "&amp;ROW()-1),"")</f>
        <v>Tarea 44</v>
      </c>
      <c r="B45" s="57">
        <f>IFERROR(MATCH(Datos!$A46,Configura!$B$9:$B$18,0),0)</f>
        <v>4</v>
      </c>
      <c r="C45" s="57">
        <f>IFERROR(MATCH(Datos!$B46,Configura!$D$9:$D$11,0),0)</f>
        <v>2</v>
      </c>
      <c r="D45" s="57" cm="1">
        <f t="array" aca="1" ref="D45" ca="1">IF(AND(Datos!$A46&lt;&gt;"",
OR(miCriticidad="",miCriticidad=$C45),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R-132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R-132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R132:R139</v>
      </c>
    </row>
    <row r="46" spans="1:16" ht="15.6" thickTop="1" thickBot="1">
      <c r="A46" s="52" t="str">
        <f ca="1">IFERROR(IF(Datos!$A47="","",Idiomas!$A$12&amp;" "&amp;ROW()-1),"")</f>
        <v>Tarea 45</v>
      </c>
      <c r="B46" s="53">
        <f>IFERROR(MATCH(Datos!$A47,Configura!$B$9:$B$18,0),0)</f>
        <v>4</v>
      </c>
      <c r="C46" s="53">
        <f>IFERROR(MATCH(Datos!$B47,Configura!$D$9:$D$11,0),0)</f>
        <v>2</v>
      </c>
      <c r="D46" s="53" cm="1">
        <f t="array" aca="1" ref="D46" ca="1">IF(AND(Datos!$A47&lt;&gt;"",
OR(miCriticidad="",miCriticidad=$C46),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R-123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R-123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R123:R130</v>
      </c>
    </row>
    <row r="47" spans="1:16" ht="15.6" thickTop="1" thickBot="1">
      <c r="A47" s="56" t="str">
        <f ca="1">IFERROR(IF(Datos!$A48="","",Idiomas!$A$12&amp;" "&amp;ROW()-1),"")</f>
        <v>Tarea 46</v>
      </c>
      <c r="B47" s="57">
        <f>IFERROR(MATCH(Datos!$A48,Configura!$B$9:$B$18,0),0)</f>
        <v>4</v>
      </c>
      <c r="C47" s="57">
        <f>IFERROR(MATCH(Datos!$B48,Configura!$D$9:$D$11,0),0)</f>
        <v>3</v>
      </c>
      <c r="D47" s="57" cm="1">
        <f t="array" aca="1" ref="D47" ca="1">IF(AND(Datos!$A48&lt;&gt;"",
OR(miCriticidad="",miCriticidad=$C47),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R-114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R-114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R114:R121</v>
      </c>
    </row>
    <row r="48" spans="1:16" ht="15.6" thickTop="1" thickBot="1">
      <c r="A48" s="52" t="str">
        <f ca="1">IFERROR(IF(Datos!$A49="","",Idiomas!$A$12&amp;" "&amp;ROW()-1),"")</f>
        <v>Tarea 47</v>
      </c>
      <c r="B48" s="53">
        <f>IFERROR(MATCH(Datos!$A49,Configura!$B$9:$B$18,0),0)</f>
        <v>4</v>
      </c>
      <c r="C48" s="53">
        <f>IFERROR(MATCH(Datos!$B49,Configura!$D$9:$D$11,0),0)</f>
        <v>3</v>
      </c>
      <c r="D48" s="53" cm="1">
        <f t="array" aca="1" ref="D48" ca="1">IF(AND(Datos!$A49&lt;&gt;"",
OR(miCriticidad="",miCriticidad=$C48),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R-105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R-105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R105:R112</v>
      </c>
    </row>
    <row r="49" spans="1:16" ht="15.6" thickTop="1" thickBot="1">
      <c r="A49" s="56" t="str">
        <f ca="1">IFERROR(IF(Datos!$A50="","",Idiomas!$A$12&amp;" "&amp;ROW()-1),"")</f>
        <v>Tarea 48</v>
      </c>
      <c r="B49" s="57">
        <f>IFERROR(MATCH(Datos!$A50,Configura!$B$9:$B$18,0),0)</f>
        <v>4</v>
      </c>
      <c r="C49" s="57">
        <f>IFERROR(MATCH(Datos!$B50,Configura!$D$9:$D$11,0),0)</f>
        <v>1</v>
      </c>
      <c r="D49" s="57" cm="1">
        <f t="array" aca="1" ref="D49" ca="1">IF(AND(Datos!$A50&lt;&gt;"",
OR(miCriticidad="",miCriticidad=$C49),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R-96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R-96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R96:R103</v>
      </c>
    </row>
    <row r="50" spans="1:16" ht="15.6" thickTop="1" thickBot="1">
      <c r="A50" s="52" t="str">
        <f ca="1">IFERROR(IF(Datos!$A51="","",Idiomas!$A$12&amp;" "&amp;ROW()-1),"")</f>
        <v>Tarea 49</v>
      </c>
      <c r="B50" s="53">
        <f>IFERROR(MATCH(Datos!$A51,Configura!$B$9:$B$18,0),0)</f>
        <v>4</v>
      </c>
      <c r="C50" s="53">
        <f>IFERROR(MATCH(Datos!$B51,Configura!$D$9:$D$11,0),0)</f>
        <v>3</v>
      </c>
      <c r="D50" s="53" cm="1">
        <f t="array" aca="1" ref="D50" ca="1">IF(AND(Datos!$A51&lt;&gt;"",
OR(miCriticidad="",miCriticidad=$C50),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>R-87</v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R-87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R87:R94</v>
      </c>
    </row>
    <row r="51" spans="1:16" ht="15.6" thickTop="1" thickBot="1">
      <c r="A51" s="56" t="str">
        <f ca="1">IFERROR(IF(Datos!$A52="","",Idiomas!$A$12&amp;" "&amp;ROW()-1),"")</f>
        <v>Tarea 50</v>
      </c>
      <c r="B51" s="57">
        <f>IFERROR(MATCH(Datos!$A52,Configura!$B$9:$B$18,0),0)</f>
        <v>4</v>
      </c>
      <c r="C51" s="57">
        <f>IFERROR(MATCH(Datos!$B52,Configura!$D$9:$D$11,0),0)</f>
        <v>2</v>
      </c>
      <c r="D51" s="57" cm="1">
        <f t="array" aca="1" ref="D51" ca="1">IF(AND(Datos!$A52&lt;&gt;"",
OR(miCriticidad="",miCriticidad=$C51),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>R-78</v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R-78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R78:R85</v>
      </c>
    </row>
    <row r="52" spans="1:16" ht="15.6" thickTop="1" thickBot="1">
      <c r="A52" s="52" t="str">
        <f ca="1">IFERROR(IF(Datos!$A53="","",Idiomas!$A$12&amp;" "&amp;ROW()-1),"")</f>
        <v>Tarea 51</v>
      </c>
      <c r="B52" s="53">
        <f>IFERROR(MATCH(Datos!$A53,Configura!$B$9:$B$18,0),0)</f>
        <v>4</v>
      </c>
      <c r="C52" s="53">
        <f>IFERROR(MATCH(Datos!$B53,Configura!$D$9:$D$11,0),0)</f>
        <v>3</v>
      </c>
      <c r="D52" s="53" cm="1">
        <f t="array" aca="1" ref="D52" ca="1">IF(AND(Datos!$A53&lt;&gt;"",
OR(miCriticidad="",miCriticidad=$C52),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>R-69</v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R-69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R69:R76</v>
      </c>
    </row>
    <row r="53" spans="1:16" ht="15.6" thickTop="1" thickBot="1">
      <c r="A53" s="56" t="str">
        <f ca="1">IFERROR(IF(Datos!$A54="","",Idiomas!$A$12&amp;" "&amp;ROW()-1),"")</f>
        <v>Tarea 52</v>
      </c>
      <c r="B53" s="57">
        <f>IFERROR(MATCH(Datos!$A54,Configura!$B$9:$B$18,0),0)</f>
        <v>4</v>
      </c>
      <c r="C53" s="57">
        <f>IFERROR(MATCH(Datos!$B54,Configura!$D$9:$D$11,0),0)</f>
        <v>2</v>
      </c>
      <c r="D53" s="57" cm="1">
        <f t="array" aca="1" ref="D53" ca="1">IF(AND(Datos!$A54&lt;&gt;"",
OR(miCriticidad="",miCriticidad=$C53),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>R-60</v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R-60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R60:R67</v>
      </c>
    </row>
    <row r="54" spans="1:16" ht="15.6" thickTop="1" thickBot="1">
      <c r="A54" s="52" t="str">
        <f ca="1">IFERROR(IF(Datos!$A55="","",Idiomas!$A$12&amp;" "&amp;ROW()-1),"")</f>
        <v>Tarea 53</v>
      </c>
      <c r="B54" s="53">
        <f>IFERROR(MATCH(Datos!$A55,Configura!$B$9:$B$18,0),0)</f>
        <v>4</v>
      </c>
      <c r="C54" s="53">
        <f>IFERROR(MATCH(Datos!$B55,Configura!$D$9:$D$11,0),0)</f>
        <v>2</v>
      </c>
      <c r="D54" s="53" cm="1">
        <f t="array" aca="1" ref="D54" ca="1">IF(AND(Datos!$A55&lt;&gt;"",
OR(miCriticidad="",miCriticidad=$C54),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>R-51</v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R-51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R51:R58</v>
      </c>
    </row>
    <row r="55" spans="1:16" ht="15.6" thickTop="1" thickBot="1">
      <c r="A55" s="56" t="str">
        <f ca="1">IFERROR(IF(Datos!$A56="","",Idiomas!$A$12&amp;" "&amp;ROW()-1),"")</f>
        <v>Tarea 54</v>
      </c>
      <c r="B55" s="57">
        <f>IFERROR(MATCH(Datos!$A56,Configura!$B$9:$B$18,0),0)</f>
        <v>4</v>
      </c>
      <c r="C55" s="57">
        <f>IFERROR(MATCH(Datos!$B56,Configura!$D$9:$D$11,0),0)</f>
        <v>3</v>
      </c>
      <c r="D55" s="57" cm="1">
        <f t="array" aca="1" ref="D55" ca="1">IF(AND(Datos!$A56&lt;&gt;"",
OR(miCriticidad="",miCriticidad=$C55),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>R-42</v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R-42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R42:R49</v>
      </c>
    </row>
    <row r="56" spans="1:16" ht="15.6" thickTop="1" thickBot="1">
      <c r="A56" s="52" t="str">
        <f ca="1">IFERROR(IF(Datos!$A57="","",Idiomas!$A$12&amp;" "&amp;ROW()-1),"")</f>
        <v>Tarea 55</v>
      </c>
      <c r="B56" s="53">
        <f>IFERROR(MATCH(Datos!$A57,Configura!$B$9:$B$18,0),0)</f>
        <v>4</v>
      </c>
      <c r="C56" s="53">
        <f>IFERROR(MATCH(Datos!$B57,Configura!$D$9:$D$11,0),0)</f>
        <v>1</v>
      </c>
      <c r="D56" s="53" cm="1">
        <f t="array" aca="1" ref="D56" ca="1">IF(AND(Datos!$A57&lt;&gt;"",
OR(miCriticidad="",miCriticidad=$C56),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>R-33</v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R-33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R33:R40</v>
      </c>
    </row>
    <row r="57" spans="1:16" ht="15.6" thickTop="1" thickBot="1">
      <c r="A57" s="56" t="str">
        <f ca="1">IFERROR(IF(Datos!$A58="","",Idiomas!$A$12&amp;" "&amp;ROW()-1),"")</f>
        <v>Tarea 56</v>
      </c>
      <c r="B57" s="57">
        <f>IFERROR(MATCH(Datos!$A58,Configura!$B$9:$B$18,0),0)</f>
        <v>4</v>
      </c>
      <c r="C57" s="57">
        <f>IFERROR(MATCH(Datos!$B58,Configura!$D$9:$D$11,0),0)</f>
        <v>1</v>
      </c>
      <c r="D57" s="57" cm="1">
        <f t="array" aca="1" ref="D57" ca="1">IF(AND(Datos!$A58&lt;&gt;"",
OR(miCriticidad="",miCriticidad=$C57),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R-24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R-24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R24:R31</v>
      </c>
    </row>
    <row r="58" spans="1:16" ht="15.6" thickTop="1" thickBot="1">
      <c r="A58" s="52" t="str">
        <f ca="1">IFERROR(IF(Datos!$A59="","",Idiomas!$A$12&amp;" "&amp;ROW()-1),"")</f>
        <v>Tarea 57</v>
      </c>
      <c r="B58" s="53">
        <f>IFERROR(MATCH(Datos!$A59,Configura!$B$9:$B$18,0),0)</f>
        <v>4</v>
      </c>
      <c r="C58" s="53">
        <f>IFERROR(MATCH(Datos!$B59,Configura!$D$9:$D$11,0),0)</f>
        <v>1</v>
      </c>
      <c r="D58" s="53" cm="1">
        <f t="array" aca="1" ref="D58" ca="1">IF(AND(Datos!$A59&lt;&gt;"",
OR(miCriticidad="",miCriticidad=$C58),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R-15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R-15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R15:R22</v>
      </c>
    </row>
    <row r="59" spans="1:16" ht="15.6" thickTop="1" thickBot="1">
      <c r="A59" s="56" t="str">
        <f ca="1">IFERROR(IF(Datos!$A60="","",Idiomas!$A$12&amp;" "&amp;ROW()-1),"")</f>
        <v>Tarea 58</v>
      </c>
      <c r="B59" s="57">
        <f>IFERROR(MATCH(Datos!$A60,Configura!$B$9:$B$18,0),0)</f>
        <v>1</v>
      </c>
      <c r="C59" s="57">
        <f>IFERROR(MATCH(Datos!$B60,Configura!$D$9:$D$11,0),0)</f>
        <v>1</v>
      </c>
      <c r="D59" s="57" cm="1">
        <f t="array" aca="1" ref="D59" ca="1">IF(AND(Datos!$A60&lt;&gt;"",
OR(miCriticidad="",miCriticidad=$C59),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59" s="58" t="str">
        <f t="shared" ca="1" si="7"/>
        <v>C-15</v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C-15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C15:C22</v>
      </c>
    </row>
    <row r="60" spans="1:16" ht="15.6" thickTop="1" thickBot="1">
      <c r="A60" s="52" t="str">
        <f ca="1">IFERROR(IF(Datos!$A61="","",Idiomas!$A$12&amp;" "&amp;ROW()-1),"")</f>
        <v>Tarea 59</v>
      </c>
      <c r="B60" s="53">
        <f>IFERROR(MATCH(Datos!$A61,Configura!$B$9:$B$18,0),0)</f>
        <v>1</v>
      </c>
      <c r="C60" s="53">
        <f>IFERROR(MATCH(Datos!$B61,Configura!$D$9:$D$11,0),0)</f>
        <v>1</v>
      </c>
      <c r="D60" s="53" cm="1">
        <f t="array" aca="1" ref="D60" ca="1">IF(AND(Datos!$A61&lt;&gt;"",
OR(miCriticidad="",miCriticidad=$C60),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0" s="54" t="str">
        <f t="shared" ca="1" si="7"/>
        <v>C-6</v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C-6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C6:C13</v>
      </c>
    </row>
    <row r="61" spans="1:16" ht="15.6" thickTop="1" thickBot="1">
      <c r="A61" s="56" t="str">
        <f ca="1">IFERROR(IF(Datos!$A62="","",Idiomas!$A$12&amp;" "&amp;ROW()-1),"")</f>
        <v>Tarea 60</v>
      </c>
      <c r="B61" s="57">
        <f>IFERROR(MATCH(Datos!$A62,Configura!$B$9:$B$18,0),0)</f>
        <v>2</v>
      </c>
      <c r="C61" s="57">
        <f>IFERROR(MATCH(Datos!$B62,Configura!$D$9:$D$11,0),0)</f>
        <v>2</v>
      </c>
      <c r="D61" s="57" cm="1">
        <f t="array" aca="1" ref="D61" ca="1">IF(AND(Datos!$A62&lt;&gt;"",
OR(miCriticidad="",miCriticidad=$C61),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1" s="58" t="str">
        <f t="shared" ca="1" si="7"/>
        <v/>
      </c>
      <c r="F61" s="58" t="str">
        <f t="shared" ca="1" si="7"/>
        <v>H-87</v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H-87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H87:H94</v>
      </c>
    </row>
    <row r="62" spans="1:16" ht="15.6" thickTop="1" thickBot="1">
      <c r="A62" s="52" t="str">
        <f ca="1">IFERROR(IF(Datos!$A63="","",Idiomas!$A$12&amp;" "&amp;ROW()-1),"")</f>
        <v>Tarea 61</v>
      </c>
      <c r="B62" s="53">
        <f>IFERROR(MATCH(Datos!$A63,Configura!$B$9:$B$18,0),0)</f>
        <v>2</v>
      </c>
      <c r="C62" s="53">
        <f>IFERROR(MATCH(Datos!$B63,Configura!$D$9:$D$11,0),0)</f>
        <v>2</v>
      </c>
      <c r="D62" s="53" cm="1">
        <f t="array" aca="1" ref="D62" ca="1">IF(AND(Datos!$A63&lt;&gt;"",
OR(miCriticidad="",miCriticidad=$C62),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>H-78</v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H-78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H78:H85</v>
      </c>
    </row>
    <row r="63" spans="1:16" ht="15.6" thickTop="1" thickBot="1">
      <c r="A63" s="56" t="str">
        <f ca="1">IFERROR(IF(Datos!$A64="","",Idiomas!$A$12&amp;" "&amp;ROW()-1),"")</f>
        <v>Tarea 62</v>
      </c>
      <c r="B63" s="57">
        <f>IFERROR(MATCH(Datos!$A64,Configura!$B$9:$B$18,0),0)</f>
        <v>2</v>
      </c>
      <c r="C63" s="57">
        <f>IFERROR(MATCH(Datos!$B64,Configura!$D$9:$D$11,0),0)</f>
        <v>1</v>
      </c>
      <c r="D63" s="57" cm="1">
        <f t="array" aca="1" ref="D63" ca="1">IF(AND(Datos!$A64&lt;&gt;"",
OR(miCriticidad="",miCriticidad=$C63),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3" s="58" t="str">
        <f t="shared" ca="1" si="8"/>
        <v/>
      </c>
      <c r="F63" s="58" t="str">
        <f t="shared" ca="1" si="8"/>
        <v>H-69</v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H-69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H69:H76</v>
      </c>
    </row>
    <row r="64" spans="1:16" ht="15.6" thickTop="1" thickBot="1">
      <c r="A64" s="52" t="str">
        <f ca="1">IFERROR(IF(Datos!$A65="","",Idiomas!$A$12&amp;" "&amp;ROW()-1),"")</f>
        <v>Tarea 63</v>
      </c>
      <c r="B64" s="53">
        <f>IFERROR(MATCH(Datos!$A65,Configura!$B$9:$B$18,0),0)</f>
        <v>2</v>
      </c>
      <c r="C64" s="53">
        <f>IFERROR(MATCH(Datos!$B65,Configura!$D$9:$D$11,0),0)</f>
        <v>1</v>
      </c>
      <c r="D64" s="53" cm="1">
        <f t="array" aca="1" ref="D64" ca="1">IF(AND(Datos!$A65&lt;&gt;"",
OR(miCriticidad="",miCriticidad=$C64),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4" s="54" t="str">
        <f t="shared" ca="1" si="8"/>
        <v/>
      </c>
      <c r="F64" s="54" t="str">
        <f t="shared" ca="1" si="8"/>
        <v>H-60</v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H-60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H60:H67</v>
      </c>
    </row>
    <row r="65" spans="1:16" ht="15.6" thickTop="1" thickBot="1">
      <c r="A65" s="56" t="str">
        <f ca="1">IFERROR(IF(Datos!$A66="","",Idiomas!$A$12&amp;" "&amp;ROW()-1),"")</f>
        <v>Tarea 64</v>
      </c>
      <c r="B65" s="57">
        <f>IFERROR(MATCH(Datos!$A66,Configura!$B$9:$B$18,0),0)</f>
        <v>2</v>
      </c>
      <c r="C65" s="57">
        <f>IFERROR(MATCH(Datos!$B66,Configura!$D$9:$D$11,0),0)</f>
        <v>2</v>
      </c>
      <c r="D65" s="57" cm="1">
        <f t="array" aca="1" ref="D65" ca="1">IF(AND(Datos!$A66&lt;&gt;"",
OR(miCriticidad="",miCriticidad=$C65),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5" s="58" t="str">
        <f t="shared" ca="1" si="8"/>
        <v/>
      </c>
      <c r="F65" s="58" t="str">
        <f t="shared" ca="1" si="8"/>
        <v>H-51</v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H-51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H51:H58</v>
      </c>
    </row>
    <row r="66" spans="1:16" ht="15.6" thickTop="1" thickBot="1">
      <c r="A66" s="52" t="str">
        <f ca="1">IFERROR(IF(Datos!$A67="","",Idiomas!$A$12&amp;" "&amp;ROW()-1),"")</f>
        <v>Tarea 65</v>
      </c>
      <c r="B66" s="53">
        <f>IFERROR(MATCH(Datos!$A67,Configura!$B$9:$B$18,0),0)</f>
        <v>2</v>
      </c>
      <c r="C66" s="53">
        <f>IFERROR(MATCH(Datos!$B67,Configura!$D$9:$D$11,0),0)</f>
        <v>2</v>
      </c>
      <c r="D66" s="53" cm="1">
        <f t="array" aca="1" ref="D66" ca="1">IF(AND(Datos!$A67&lt;&gt;"",
OR(miCriticidad="",miCriticidad=$C66),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6" s="54" t="str">
        <f t="shared" ca="1" si="8"/>
        <v/>
      </c>
      <c r="F66" s="54" t="str">
        <f t="shared" ca="1" si="8"/>
        <v>H-42</v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H-42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H42:H49</v>
      </c>
    </row>
    <row r="67" spans="1:16" ht="15.6" thickTop="1" thickBot="1">
      <c r="A67" s="56" t="str">
        <f ca="1">IFERROR(IF(Datos!$A68="","",Idiomas!$A$12&amp;" "&amp;ROW()-1),"")</f>
        <v>Tarea 66</v>
      </c>
      <c r="B67" s="57">
        <f>IFERROR(MATCH(Datos!$A68,Configura!$B$9:$B$18,0),0)</f>
        <v>2</v>
      </c>
      <c r="C67" s="57">
        <f>IFERROR(MATCH(Datos!$B68,Configura!$D$9:$D$11,0),0)</f>
        <v>2</v>
      </c>
      <c r="D67" s="57" cm="1">
        <f t="array" aca="1" ref="D67" ca="1">IF(AND(Datos!$A68&lt;&gt;"",
OR(miCriticidad="",miCriticidad=$C67),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7" s="58" t="str">
        <f t="shared" ca="1" si="8"/>
        <v/>
      </c>
      <c r="F67" s="58" t="str">
        <f t="shared" ca="1" si="8"/>
        <v>H-33</v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H-33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H33:H40</v>
      </c>
    </row>
    <row r="68" spans="1:16" ht="15.6" thickTop="1" thickBot="1">
      <c r="A68" s="52" t="str">
        <f ca="1">IFERROR(IF(Datos!$A69="","",Idiomas!$A$12&amp;" "&amp;ROW()-1),"")</f>
        <v>Tarea 67</v>
      </c>
      <c r="B68" s="53">
        <f>IFERROR(MATCH(Datos!$A69,Configura!$B$9:$B$18,0),0)</f>
        <v>2</v>
      </c>
      <c r="C68" s="53">
        <f>IFERROR(MATCH(Datos!$B69,Configura!$D$9:$D$11,0),0)</f>
        <v>2</v>
      </c>
      <c r="D68" s="53" cm="1">
        <f t="array" aca="1" ref="D68" ca="1">IF(AND(Datos!$A69&lt;&gt;"",
OR(miCriticidad="",miCriticidad=$C68),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8" s="54" t="str">
        <f t="shared" ca="1" si="8"/>
        <v/>
      </c>
      <c r="F68" s="54" t="str">
        <f t="shared" ca="1" si="8"/>
        <v>H-24</v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H-24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H24:H31</v>
      </c>
    </row>
    <row r="69" spans="1:16" ht="15.6" thickTop="1" thickBot="1">
      <c r="A69" s="56" t="str">
        <f ca="1">IFERROR(IF(Datos!$A70="","",Idiomas!$A$12&amp;" "&amp;ROW()-1),"")</f>
        <v>Tarea 68</v>
      </c>
      <c r="B69" s="57">
        <f>IFERROR(MATCH(Datos!$A70,Configura!$B$9:$B$18,0),0)</f>
        <v>2</v>
      </c>
      <c r="C69" s="57">
        <f>IFERROR(MATCH(Datos!$B70,Configura!$D$9:$D$11,0),0)</f>
        <v>2</v>
      </c>
      <c r="D69" s="57" cm="1">
        <f t="array" aca="1" ref="D69" ca="1">IF(AND(Datos!$A70&lt;&gt;"",
OR(miCriticidad="",miCriticidad=$C69),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69" s="58" t="str">
        <f t="shared" ca="1" si="8"/>
        <v/>
      </c>
      <c r="F69" s="58" t="str">
        <f t="shared" ca="1" si="8"/>
        <v>H-15</v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H-15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H15:H22</v>
      </c>
    </row>
    <row r="70" spans="1:16" ht="15.6" thickTop="1" thickBot="1">
      <c r="A70" s="52" t="str">
        <f ca="1">IFERROR(IF(Datos!$A71="","",Idiomas!$A$12&amp;" "&amp;ROW()-1),"")</f>
        <v>Tarea 69</v>
      </c>
      <c r="B70" s="53">
        <f>IFERROR(MATCH(Datos!$A71,Configura!$B$9:$B$18,0),0)</f>
        <v>2</v>
      </c>
      <c r="C70" s="53">
        <f>IFERROR(MATCH(Datos!$B71,Configura!$D$9:$D$11,0),0)</f>
        <v>2</v>
      </c>
      <c r="D70" s="53" cm="1">
        <f t="array" aca="1" ref="D70" ca="1">IF(AND(Datos!$A71&lt;&gt;"",
OR(miCriticidad="",miCriticidad=$C70),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0" s="54" t="str">
        <f t="shared" ca="1" si="8"/>
        <v/>
      </c>
      <c r="F70" s="54" t="str">
        <f t="shared" ca="1" si="8"/>
        <v>H-6</v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H-6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H6:H13</v>
      </c>
    </row>
    <row r="71" spans="1:16" ht="15.6" thickTop="1" thickBot="1">
      <c r="A71" s="56" t="str">
        <f ca="1">IFERROR(IF(Datos!$A72="","",Idiomas!$A$12&amp;" "&amp;ROW()-1),"")</f>
        <v/>
      </c>
      <c r="B71" s="57">
        <f>IFERROR(MATCH(Datos!$A72,Configura!$B$9:$B$18,0),0)</f>
        <v>0</v>
      </c>
      <c r="C71" s="57">
        <f>IFERROR(MATCH(Datos!$B72,Configura!$D$9:$D$11,0),0)</f>
        <v>0</v>
      </c>
      <c r="D71" s="57" cm="1">
        <f t="array" aca="1" ref="D71" ca="1">IF(AND(Datos!$A72&lt;&gt;"",
OR(miCriticidad="",miCriticidad=$C71),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IFERROR(IF(Datos!$A73="","",Idiomas!$A$12&amp;" "&amp;ROW()-1),"")</f>
        <v/>
      </c>
      <c r="B72" s="53">
        <f>IFERROR(MATCH(Datos!$A73,Configura!$B$9:$B$18,0),0)</f>
        <v>0</v>
      </c>
      <c r="C72" s="53">
        <f>IFERROR(MATCH(Datos!$B73,Configura!$D$9:$D$11,0),0)</f>
        <v>0</v>
      </c>
      <c r="D72" s="53" cm="1">
        <f t="array" aca="1" ref="D72" ca="1">IF(AND(Datos!$A73&lt;&gt;"",
OR(miCriticidad="",miCriticidad=$C72),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IFERROR(IF(Datos!$A74="","",Idiomas!$A$12&amp;" "&amp;ROW()-1),"")</f>
        <v/>
      </c>
      <c r="B73" s="57">
        <f>IFERROR(MATCH(Datos!$A74,Configura!$B$9:$B$18,0),0)</f>
        <v>0</v>
      </c>
      <c r="C73" s="57">
        <f>IFERROR(MATCH(Datos!$B74,Configura!$D$9:$D$11,0),0)</f>
        <v>0</v>
      </c>
      <c r="D73" s="57" cm="1">
        <f t="array" aca="1" ref="D73" ca="1">IF(AND(Datos!$A74&lt;&gt;"",
OR(miCriticidad="",miCriticidad=$C73),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IFERROR(IF(Datos!$A75="","",Idiomas!$A$12&amp;" "&amp;ROW()-1),"")</f>
        <v/>
      </c>
      <c r="B74" s="53">
        <f>IFERROR(MATCH(Datos!$A75,Configura!$B$9:$B$18,0),0)</f>
        <v>0</v>
      </c>
      <c r="C74" s="53">
        <f>IFERROR(MATCH(Datos!$B75,Configura!$D$9:$D$11,0),0)</f>
        <v>0</v>
      </c>
      <c r="D74" s="53" cm="1">
        <f t="array" aca="1" ref="D74" ca="1">IF(AND(Datos!$A75&lt;&gt;"",
OR(miCriticidad="",miCriticidad=$C74),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IFERROR(IF(Datos!$A76="","",Idiomas!$A$12&amp;" "&amp;ROW()-1),"")</f>
        <v/>
      </c>
      <c r="B75" s="57">
        <f>IFERROR(MATCH(Datos!$A76,Configura!$B$9:$B$18,0),0)</f>
        <v>0</v>
      </c>
      <c r="C75" s="57">
        <f>IFERROR(MATCH(Datos!$B76,Configura!$D$9:$D$11,0),0)</f>
        <v>0</v>
      </c>
      <c r="D75" s="57" cm="1">
        <f t="array" aca="1" ref="D75" ca="1">IF(AND(Datos!$A76&lt;&gt;"",
OR(miCriticidad="",miCriticidad=$C75),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IFERROR(IF(Datos!$A77="","",Idiomas!$A$12&amp;" "&amp;ROW()-1),"")</f>
        <v/>
      </c>
      <c r="B76" s="53">
        <f>IFERROR(MATCH(Datos!$A77,Configura!$B$9:$B$18,0),0)</f>
        <v>0</v>
      </c>
      <c r="C76" s="53">
        <f>IFERROR(MATCH(Datos!$B77,Configura!$D$9:$D$11,0),0)</f>
        <v>0</v>
      </c>
      <c r="D76" s="53" cm="1">
        <f t="array" aca="1" ref="D76" ca="1">IF(AND(Datos!$A77&lt;&gt;"",
OR(miCriticidad="",miCriticidad=$C76),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IFERROR(IF(Datos!$A78="","",Idiomas!$A$12&amp;" "&amp;ROW()-1),"")</f>
        <v/>
      </c>
      <c r="B77" s="57">
        <f>IFERROR(MATCH(Datos!$A78,Configura!$B$9:$B$18,0),0)</f>
        <v>0</v>
      </c>
      <c r="C77" s="57">
        <f>IFERROR(MATCH(Datos!$B78,Configura!$D$9:$D$11,0),0)</f>
        <v>0</v>
      </c>
      <c r="D77" s="57" cm="1">
        <f t="array" aca="1" ref="D77" ca="1">IF(AND(Datos!$A78&lt;&gt;"",
OR(miCriticidad="",miCriticidad=$C77),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IFERROR(IF(Datos!$A79="","",Idiomas!$A$12&amp;" "&amp;ROW()-1),"")</f>
        <v/>
      </c>
      <c r="B78" s="53">
        <f>IFERROR(MATCH(Datos!$A79,Configura!$B$9:$B$18,0),0)</f>
        <v>0</v>
      </c>
      <c r="C78" s="53">
        <f>IFERROR(MATCH(Datos!$B79,Configura!$D$9:$D$11,0),0)</f>
        <v>0</v>
      </c>
      <c r="D78" s="53" cm="1">
        <f t="array" aca="1" ref="D78" ca="1">IF(AND(Datos!$A79&lt;&gt;"",
OR(miCriticidad="",miCriticidad=$C78),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IFERROR(IF(Datos!$A80="","",Idiomas!$A$12&amp;" "&amp;ROW()-1),"")</f>
        <v/>
      </c>
      <c r="B79" s="57">
        <f>IFERROR(MATCH(Datos!$A80,Configura!$B$9:$B$18,0),0)</f>
        <v>0</v>
      </c>
      <c r="C79" s="57">
        <f>IFERROR(MATCH(Datos!$B80,Configura!$D$9:$D$11,0),0)</f>
        <v>0</v>
      </c>
      <c r="D79" s="57" cm="1">
        <f t="array" aca="1" ref="D79" ca="1">IF(AND(Datos!$A80&lt;&gt;"",
OR(miCriticidad="",miCriticidad=$C79),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IFERROR(IF(Datos!$A81="","",Idiomas!$A$12&amp;" "&amp;ROW()-1),"")</f>
        <v/>
      </c>
      <c r="B80" s="53">
        <f>IFERROR(MATCH(Datos!$A81,Configura!$B$9:$B$18,0),0)</f>
        <v>0</v>
      </c>
      <c r="C80" s="53">
        <f>IFERROR(MATCH(Datos!$B81,Configura!$D$9:$D$11,0),0)</f>
        <v>0</v>
      </c>
      <c r="D80" s="53" cm="1">
        <f t="array" aca="1" ref="D80" ca="1">IF(AND(Datos!$A81&lt;&gt;"",
OR(miCriticidad="",miCriticidad=$C80),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IFERROR(IF(Datos!$A82="","",Idiomas!$A$12&amp;" "&amp;ROW()-1),"")</f>
        <v/>
      </c>
      <c r="B81" s="57">
        <f>IFERROR(MATCH(Datos!$A82,Configura!$B$9:$B$18,0),0)</f>
        <v>0</v>
      </c>
      <c r="C81" s="57">
        <f>IFERROR(MATCH(Datos!$B82,Configura!$D$9:$D$11,0),0)</f>
        <v>0</v>
      </c>
      <c r="D81" s="57" cm="1">
        <f t="array" aca="1" ref="D81" ca="1">IF(AND(Datos!$A82&lt;&gt;"",
OR(miCriticidad="",miCriticidad=$C81),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IFERROR(IF(Datos!$A83="","",Idiomas!$A$12&amp;" "&amp;ROW()-1),"")</f>
        <v/>
      </c>
      <c r="B82" s="53">
        <f>IFERROR(MATCH(Datos!$A83,Configura!$B$9:$B$18,0),0)</f>
        <v>0</v>
      </c>
      <c r="C82" s="53">
        <f>IFERROR(MATCH(Datos!$B83,Configura!$D$9:$D$11,0),0)</f>
        <v>0</v>
      </c>
      <c r="D82" s="53" cm="1">
        <f t="array" aca="1" ref="D82" ca="1">IF(AND(Datos!$A83&lt;&gt;"",
OR(miCriticidad="",miCriticidad=$C82),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IFERROR(IF(Datos!$A84="","",Idiomas!$A$12&amp;" "&amp;ROW()-1),"")</f>
        <v/>
      </c>
      <c r="B83" s="57">
        <f>IFERROR(MATCH(Datos!$A84,Configura!$B$9:$B$18,0),0)</f>
        <v>0</v>
      </c>
      <c r="C83" s="57">
        <f>IFERROR(MATCH(Datos!$B84,Configura!$D$9:$D$11,0),0)</f>
        <v>0</v>
      </c>
      <c r="D83" s="57" cm="1">
        <f t="array" aca="1" ref="D83" ca="1">IF(AND(Datos!$A84&lt;&gt;"",
OR(miCriticidad="",miCriticidad=$C83),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IFERROR(IF(Datos!$A85="","",Idiomas!$A$12&amp;" "&amp;ROW()-1),"")</f>
        <v/>
      </c>
      <c r="B84" s="53">
        <f>IFERROR(MATCH(Datos!$A85,Configura!$B$9:$B$18,0),0)</f>
        <v>0</v>
      </c>
      <c r="C84" s="53">
        <f>IFERROR(MATCH(Datos!$B85,Configura!$D$9:$D$11,0),0)</f>
        <v>0</v>
      </c>
      <c r="D84" s="53" cm="1">
        <f t="array" aca="1" ref="D84" ca="1">IF(AND(Datos!$A85&lt;&gt;"",
OR(miCriticidad="",miCriticidad=$C84),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IFERROR(IF(Datos!$A86="","",Idiomas!$A$12&amp;" "&amp;ROW()-1),"")</f>
        <v>Tarea 84</v>
      </c>
      <c r="B85" s="57">
        <f>IFERROR(MATCH(Datos!$A86,Configura!$B$9:$B$18,0),0)</f>
        <v>4</v>
      </c>
      <c r="C85" s="57">
        <f>IFERROR(MATCH(Datos!$B86,Configura!$D$9:$D$11,0),0)</f>
        <v>3</v>
      </c>
      <c r="D85" s="57" cm="1">
        <f t="array" aca="1" ref="D85" ca="1">IF(AND(Datos!$A86&lt;&gt;"",
OR(miCriticidad="",miCriticidad=$C85),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>
      <c r="A86" s="52" t="str">
        <f ca="1">IFERROR(IF(Datos!$A87="","",Idiomas!$A$12&amp;" "&amp;ROW()-1),"")</f>
        <v/>
      </c>
      <c r="B86" s="53">
        <f>IFERROR(MATCH(Datos!$A87,Configura!$B$9:$B$18,0),0)</f>
        <v>0</v>
      </c>
      <c r="C86" s="53">
        <f>IFERROR(MATCH(Datos!$B87,Configura!$D$9:$D$11,0),0)</f>
        <v>0</v>
      </c>
      <c r="D86" s="53" cm="1">
        <f t="array" aca="1" ref="D86" ca="1">IF(AND(Datos!$A87&lt;&gt;"",
OR(miCriticidad="",miCriticidad=$C86),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IFERROR(IF(Datos!$A88="","",Idiomas!$A$12&amp;" "&amp;ROW()-1),"")</f>
        <v/>
      </c>
      <c r="B87" s="57">
        <f>IFERROR(MATCH(Datos!$A88,Configura!$B$9:$B$18,0),0)</f>
        <v>0</v>
      </c>
      <c r="C87" s="57">
        <f>IFERROR(MATCH(Datos!$B88,Configura!$D$9:$D$11,0),0)</f>
        <v>0</v>
      </c>
      <c r="D87" s="57" cm="1">
        <f t="array" aca="1" ref="D87" ca="1">IF(AND(Datos!$A88&lt;&gt;"",
OR(miCriticidad="",miCriticidad=$C87),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IFERROR(IF(Datos!$A89="","",Idiomas!$A$12&amp;" "&amp;ROW()-1),"")</f>
        <v/>
      </c>
      <c r="B88" s="53">
        <f>IFERROR(MATCH(Datos!$A89,Configura!$B$9:$B$18,0),0)</f>
        <v>0</v>
      </c>
      <c r="C88" s="53">
        <f>IFERROR(MATCH(Datos!$B89,Configura!$D$9:$D$11,0),0)</f>
        <v>0</v>
      </c>
      <c r="D88" s="53" cm="1">
        <f t="array" aca="1" ref="D88" ca="1">IF(AND(Datos!$A89&lt;&gt;"",
OR(miCriticidad="",miCriticidad=$C88),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IFERROR(IF(Datos!$A90="","",Idiomas!$A$12&amp;" "&amp;ROW()-1),"")</f>
        <v/>
      </c>
      <c r="B89" s="57">
        <f>IFERROR(MATCH(Datos!$A90,Configura!$B$9:$B$18,0),0)</f>
        <v>0</v>
      </c>
      <c r="C89" s="57">
        <f>IFERROR(MATCH(Datos!$B90,Configura!$D$9:$D$11,0),0)</f>
        <v>0</v>
      </c>
      <c r="D89" s="57" cm="1">
        <f t="array" aca="1" ref="D89" ca="1">IF(AND(Datos!$A90&lt;&gt;"",
OR(miCriticidad="",miCriticidad=$C89),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IFERROR(IF(Datos!$A91="","",Idiomas!$A$12&amp;" "&amp;ROW()-1),"")</f>
        <v/>
      </c>
      <c r="B90" s="53">
        <f>IFERROR(MATCH(Datos!$A91,Configura!$B$9:$B$18,0),0)</f>
        <v>0</v>
      </c>
      <c r="C90" s="53">
        <f>IFERROR(MATCH(Datos!$B91,Configura!$D$9:$D$11,0),0)</f>
        <v>0</v>
      </c>
      <c r="D90" s="53" cm="1">
        <f t="array" aca="1" ref="D90" ca="1">IF(AND(Datos!$A91&lt;&gt;"",
OR(miCriticidad="",miCriticidad=$C90),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IFERROR(IF(Datos!$A92="","",Idiomas!$A$12&amp;" "&amp;ROW()-1),"")</f>
        <v/>
      </c>
      <c r="B91" s="57">
        <f>IFERROR(MATCH(Datos!$A92,Configura!$B$9:$B$18,0),0)</f>
        <v>0</v>
      </c>
      <c r="C91" s="57">
        <f>IFERROR(MATCH(Datos!$B92,Configura!$D$9:$D$11,0),0)</f>
        <v>0</v>
      </c>
      <c r="D91" s="57" cm="1">
        <f t="array" aca="1" ref="D91" ca="1">IF(AND(Datos!$A92&lt;&gt;"",
OR(miCriticidad="",miCriticidad=$C91),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IFERROR(IF(Datos!$A93="","",Idiomas!$A$12&amp;" "&amp;ROW()-1),"")</f>
        <v/>
      </c>
      <c r="B92" s="53">
        <f>IFERROR(MATCH(Datos!$A93,Configura!$B$9:$B$18,0),0)</f>
        <v>0</v>
      </c>
      <c r="C92" s="53">
        <f>IFERROR(MATCH(Datos!$B93,Configura!$D$9:$D$11,0),0)</f>
        <v>0</v>
      </c>
      <c r="D92" s="53" cm="1">
        <f t="array" aca="1" ref="D92" ca="1">IF(AND(Datos!$A93&lt;&gt;"",
OR(miCriticidad="",miCriticidad=$C92),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IFERROR(IF(Datos!$A94="","",Idiomas!$A$12&amp;" "&amp;ROW()-1),"")</f>
        <v/>
      </c>
      <c r="B93" s="57">
        <f>IFERROR(MATCH(Datos!$A94,Configura!$B$9:$B$18,0),0)</f>
        <v>0</v>
      </c>
      <c r="C93" s="57">
        <f>IFERROR(MATCH(Datos!$B94,Configura!$D$9:$D$11,0),0)</f>
        <v>0</v>
      </c>
      <c r="D93" s="57" cm="1">
        <f t="array" aca="1" ref="D93" ca="1">IF(AND(Datos!$A94&lt;&gt;"",
OR(miCriticidad="",miCriticidad=$C93),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IFERROR(IF(Datos!$A95="","",Idiomas!$A$12&amp;" "&amp;ROW()-1),"")</f>
        <v/>
      </c>
      <c r="B94" s="53">
        <f>IFERROR(MATCH(Datos!$A95,Configura!$B$9:$B$18,0),0)</f>
        <v>0</v>
      </c>
      <c r="C94" s="53">
        <f>IFERROR(MATCH(Datos!$B95,Configura!$D$9:$D$11,0),0)</f>
        <v>0</v>
      </c>
      <c r="D94" s="53" cm="1">
        <f t="array" aca="1" ref="D94" ca="1">IF(AND(Datos!$A95&lt;&gt;"",
OR(miCriticidad="",miCriticidad=$C94),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IFERROR(IF(Datos!$A96="","",Idiomas!$A$12&amp;" "&amp;ROW()-1),"")</f>
        <v/>
      </c>
      <c r="B95" s="57">
        <f>IFERROR(MATCH(Datos!$A96,Configura!$B$9:$B$18,0),0)</f>
        <v>0</v>
      </c>
      <c r="C95" s="57">
        <f>IFERROR(MATCH(Datos!$B96,Configura!$D$9:$D$11,0),0)</f>
        <v>0</v>
      </c>
      <c r="D95" s="57" cm="1">
        <f t="array" aca="1" ref="D95" ca="1">IF(AND(Datos!$A96&lt;&gt;"",
OR(miCriticidad="",miCriticidad=$C95),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IFERROR(IF(Datos!$A97="","",Idiomas!$A$12&amp;" "&amp;ROW()-1),"")</f>
        <v/>
      </c>
      <c r="B96" s="53">
        <f>IFERROR(MATCH(Datos!$A97,Configura!$B$9:$B$18,0),0)</f>
        <v>0</v>
      </c>
      <c r="C96" s="53">
        <f>IFERROR(MATCH(Datos!$B97,Configura!$D$9:$D$11,0),0)</f>
        <v>0</v>
      </c>
      <c r="D96" s="53" cm="1">
        <f t="array" aca="1" ref="D96" ca="1">IF(AND(Datos!$A97&lt;&gt;"",
OR(miCriticidad="",miCriticidad=$C96),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IFERROR(IF(Datos!$A98="","",Idiomas!$A$12&amp;" "&amp;ROW()-1),"")</f>
        <v/>
      </c>
      <c r="B97" s="57">
        <f>IFERROR(MATCH(Datos!$A98,Configura!$B$9:$B$18,0),0)</f>
        <v>0</v>
      </c>
      <c r="C97" s="57">
        <f>IFERROR(MATCH(Datos!$B98,Configura!$D$9:$D$11,0),0)</f>
        <v>0</v>
      </c>
      <c r="D97" s="57" cm="1">
        <f t="array" aca="1" ref="D97" ca="1">IF(AND(Datos!$A98&lt;&gt;"",
OR(miCriticidad="",miCriticidad=$C97),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IFERROR(IF(Datos!$A99="","",Idiomas!$A$12&amp;" "&amp;ROW()-1),"")</f>
        <v/>
      </c>
      <c r="B98" s="53">
        <f>IFERROR(MATCH(Datos!$A99,Configura!$B$9:$B$18,0),0)</f>
        <v>0</v>
      </c>
      <c r="C98" s="53">
        <f>IFERROR(MATCH(Datos!$B99,Configura!$D$9:$D$11,0),0)</f>
        <v>0</v>
      </c>
      <c r="D98" s="53" cm="1">
        <f t="array" aca="1" ref="D98" ca="1">IF(AND(Datos!$A99&lt;&gt;"",
OR(miCriticidad="",miCriticidad=$C98),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IFERROR(IF(Datos!$A100="","",Idiomas!$A$12&amp;" "&amp;ROW()-1),"")</f>
        <v/>
      </c>
      <c r="B99" s="57">
        <f>IFERROR(MATCH(Datos!$A100,Configura!$B$9:$B$18,0),0)</f>
        <v>0</v>
      </c>
      <c r="C99" s="57">
        <f>IFERROR(MATCH(Datos!$B100,Configura!$D$9:$D$11,0),0)</f>
        <v>0</v>
      </c>
      <c r="D99" s="57" cm="1">
        <f t="array" aca="1" ref="D99" ca="1">IF(AND(Datos!$A100&lt;&gt;"",
OR(miCriticidad="",miCriticidad=$C99),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IFERROR(IF(Datos!$A101="","",Idiomas!$A$12&amp;" "&amp;ROW()-1),"")</f>
        <v/>
      </c>
      <c r="B100" s="53">
        <f>IFERROR(MATCH(Datos!$A101,Configura!$B$9:$B$18,0),0)</f>
        <v>0</v>
      </c>
      <c r="C100" s="53">
        <f>IFERROR(MATCH(Datos!$B101,Configura!$D$9:$D$11,0),0)</f>
        <v>0</v>
      </c>
      <c r="D100" s="53" cm="1">
        <f t="array" aca="1" ref="D100" ca="1">IF(AND(Datos!$A101&lt;&gt;"",
OR(miCriticidad="",miCriticidad=$C100),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IFERROR(IF(Datos!$A102="","",Idiomas!$A$12&amp;" "&amp;ROW()-1),"")</f>
        <v/>
      </c>
      <c r="B101" s="61">
        <f>IFERROR(MATCH(Datos!$A102,Configura!$B$9:$B$18,0),0)</f>
        <v>0</v>
      </c>
      <c r="C101" s="61">
        <f>IFERROR(MATCH(Datos!$B102,Configura!$D$9:$D$11,0),0)</f>
        <v>0</v>
      </c>
      <c r="D101" s="61" cm="1">
        <f t="array" aca="1" ref="D101" ca="1">IF(AND(Datos!$A102&lt;&gt;"",
OR(miCriticidad="",miCriticidad=$C101),
OR(miAsignado="",miAsignado=Datos!$J102),
OR(miFechaInicio="",Datos!$E102="",Datos!$E102&gt;=miFechaInicio),
OR(miTexto="",IFERROR(SEARCH(miTexto,Datos!$C102),0)&gt;0,IFERROR(SEARCH(miTexto,Datos!$D102),0)&gt;0),
OR(miRetraso="",IFERROR(--LEFT(Datos!$I102,FIND(" ",Datos!$I102)-1),0)&gt;miRetraso),
OR(miDuración="",IFERROR(--LEFT(Datos!$H102,FIND(" ",Datos!$H102)-1),0)&gt;miDuración)),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59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69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59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69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59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69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59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69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59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69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59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69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59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 t="str">
        <f ca="1"/>
        <v/>
      </c>
      <c r="H9" s="20">
        <f t="shared" ca="1" si="11"/>
        <v>1</v>
      </c>
      <c r="I9" s="20">
        <f t="shared" ca="1" si="1"/>
        <v>69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59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69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59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69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58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>
        <f t="shared" ca="1" si="1"/>
        <v>68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57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58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>
        <f t="shared" ca="1" si="1"/>
        <v>68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57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58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>
        <f t="shared" ca="1" si="1"/>
        <v>68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57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58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>
        <f t="shared" ca="1" si="1"/>
        <v>68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57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 t="str">
        <f ca="1"/>
        <v/>
      </c>
      <c r="C16" s="20">
        <f t="shared" ca="1" si="20"/>
        <v>2</v>
      </c>
      <c r="D16" s="20">
        <f t="shared" ca="1" si="0"/>
        <v>58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>
        <f t="shared" ca="1" si="1"/>
        <v>68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57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 t="str">
        <f ca="1"/>
        <v/>
      </c>
      <c r="C17" s="20">
        <f t="shared" ca="1" si="20"/>
        <v>2</v>
      </c>
      <c r="D17" s="20">
        <f t="shared" ca="1" si="0"/>
        <v>58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>
        <f t="shared" ca="1" si="1"/>
        <v>68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57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 t="str">
        <f ca="1"/>
        <v/>
      </c>
      <c r="C18" s="20">
        <f t="shared" ca="1" si="20"/>
        <v>2</v>
      </c>
      <c r="D18" s="20">
        <f t="shared" ca="1" si="0"/>
        <v>58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>
        <f t="shared" ca="1" si="1"/>
        <v>68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57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 t="str">
        <f ca="1"/>
        <v/>
      </c>
      <c r="C19" s="20">
        <f t="shared" ca="1" si="20"/>
        <v>2</v>
      </c>
      <c r="D19" s="20">
        <f t="shared" ca="1" si="0"/>
        <v>58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>
        <f t="shared" ca="1" si="1"/>
        <v>68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57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 t="str">
        <f ca="1"/>
        <v/>
      </c>
      <c r="C20" s="20">
        <f t="shared" ca="1" si="20"/>
        <v>2</v>
      </c>
      <c r="D20" s="20">
        <f t="shared" ca="1" si="0"/>
        <v>58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68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57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67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56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67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56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67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56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67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56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67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56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67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56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67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56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67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56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67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56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66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55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66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55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66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55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66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55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66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55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66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55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66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55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66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55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66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55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65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54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65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54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65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54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65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54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65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54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65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54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65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54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65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54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65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54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64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2-1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53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64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2-2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53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64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2-3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53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64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2-4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53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64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2-5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53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64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2-6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53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64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2-7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53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64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2-8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53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64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53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63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1-1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52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63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1-2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52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>
        <f ca="1"/>
        <v>58</v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63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1-3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52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>
        <f ca="1"/>
        <v>59</v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63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1-4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52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>
        <f ca="1"/>
        <v>60</v>
      </c>
      <c r="H61" s="20">
        <f t="shared" ca="1" si="11"/>
        <v>7</v>
      </c>
      <c r="I61" s="20">
        <f t="shared" ca="1" si="22"/>
        <v>63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1-5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52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>
        <f ca="1"/>
        <v>61</v>
      </c>
      <c r="H62" s="20">
        <f t="shared" ca="1" si="11"/>
        <v>7</v>
      </c>
      <c r="I62" s="20">
        <f t="shared" ca="1" si="22"/>
        <v>63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1-6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52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>
        <f ca="1"/>
        <v>62</v>
      </c>
      <c r="H63" s="20">
        <f t="shared" ca="1" si="11"/>
        <v>7</v>
      </c>
      <c r="I63" s="20">
        <f t="shared" ca="1" si="22"/>
        <v>63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1-7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52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>
        <f ca="1"/>
        <v>63</v>
      </c>
      <c r="H64" s="20">
        <f t="shared" ca="1" si="11"/>
        <v>7</v>
      </c>
      <c r="I64" s="20">
        <f t="shared" ca="1" si="22"/>
        <v>63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1-8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52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>
        <f ca="1"/>
        <v>64</v>
      </c>
      <c r="H65" s="20">
        <f t="shared" ca="1" si="11"/>
        <v>7</v>
      </c>
      <c r="I65" s="20">
        <f t="shared" ca="1" si="22"/>
        <v>63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52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>
        <f ca="1"/>
        <v>65</v>
      </c>
      <c r="H66" s="20">
        <f t="shared" ca="1" si="11"/>
        <v>8</v>
      </c>
      <c r="I66" s="20">
        <f t="shared" ca="1" si="22"/>
        <v>62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1-1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>
        <f ca="1"/>
        <v>66</v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62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1-2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>
        <f ca="1"/>
        <v>67</v>
      </c>
      <c r="H68" s="20">
        <f t="shared" ref="H68:H131" ca="1" si="36">H67--(J67=0)</f>
        <v>8</v>
      </c>
      <c r="I68" s="20">
        <f t="shared" ca="1" si="27"/>
        <v>62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1-3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>
        <f ca="1"/>
        <v>68</v>
      </c>
      <c r="H69" s="20">
        <f t="shared" ca="1" si="36"/>
        <v>8</v>
      </c>
      <c r="I69" s="20">
        <f t="shared" ca="1" si="27"/>
        <v>62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1-4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>
        <f ca="1"/>
        <v>69</v>
      </c>
      <c r="H70" s="20">
        <f t="shared" ca="1" si="36"/>
        <v>8</v>
      </c>
      <c r="I70" s="20">
        <f t="shared" ca="1" si="27"/>
        <v>62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1-5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62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1-6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62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1-7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62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1-8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62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61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2-1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50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61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2-2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50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61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2-3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50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61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2-4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50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61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2-5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50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61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2-6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50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61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2-7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50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61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2-8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50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61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50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60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2-1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49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60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2-2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49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60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2-3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49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60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2-4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49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60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2-5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49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60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2-6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49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60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2-7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49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60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2-8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49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60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49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48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48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48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48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48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48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48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48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42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42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42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42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42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42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42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42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42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41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41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41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41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41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41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41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41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41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40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40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40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40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40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40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40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40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40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39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39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39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39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39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39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39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39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39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38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38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38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38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38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38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38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38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38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140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</row>
    <row r="2" spans="1:7">
      <c r="A2" s="32" t="str" cm="1">
        <f t="array" aca="1" ref="A2" ca="1">INDEX(TablaIdiomas[#This Row],1,$A$1)&amp;""</f>
        <v>Tablero KANBAN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</row>
    <row r="3" spans="1:7">
      <c r="A3" s="36" t="str" cm="1">
        <f t="array" aca="1" ref="A3" ca="1">INDEX(TablaIdiomas[#This Row],1,$A$1)&amp;""</f>
        <v>Idioma</v>
      </c>
      <c r="B3" s="2" t="s">
        <v>168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173</v>
      </c>
    </row>
    <row r="4" spans="1:7">
      <c r="A4" s="32" t="str" cm="1">
        <f t="array" aca="1" ref="A4" ca="1">INDEX(TablaIdiomas[#This Row],1,$A$1)&amp;""</f>
        <v>AVISO:</v>
      </c>
      <c r="B4" s="2" t="s">
        <v>174</v>
      </c>
      <c r="C4" s="2" t="s">
        <v>175</v>
      </c>
      <c r="D4" s="2" t="s">
        <v>176</v>
      </c>
      <c r="E4" s="2" t="s">
        <v>177</v>
      </c>
      <c r="F4" s="2" t="s">
        <v>178</v>
      </c>
      <c r="G4" s="2" t="s">
        <v>174</v>
      </c>
    </row>
    <row r="5" spans="1:7">
      <c r="A5" s="36" t="str" cm="1">
        <f t="array" aca="1" ref="A5" ca="1">INDEX(TablaIdiomas[#This Row],1,$A$1)&amp;""</f>
        <v>Es preciso traducir</v>
      </c>
      <c r="B5" s="2" t="s">
        <v>179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184</v>
      </c>
    </row>
    <row r="6" spans="1:7">
      <c r="A6" s="32" t="str" cm="1">
        <f t="array" aca="1" ref="A6" ca="1">INDEX(TablaIdiomas[#This Row],1,$A$1)&amp;""</f>
        <v>Estados y Criticidad</v>
      </c>
      <c r="B6" s="2" t="s">
        <v>185</v>
      </c>
      <c r="C6" s="2" t="s">
        <v>186</v>
      </c>
      <c r="D6" s="2" t="s">
        <v>187</v>
      </c>
      <c r="E6" s="2" t="s">
        <v>188</v>
      </c>
      <c r="F6" s="2" t="s">
        <v>189</v>
      </c>
      <c r="G6" s="2" t="s">
        <v>190</v>
      </c>
    </row>
    <row r="7" spans="1:7">
      <c r="A7" s="36" t="str" cm="1">
        <f t="array" aca="1" ref="A7" ca="1">INDEX(TablaIdiomas[#This Row],1,$A$1)&amp;""</f>
        <v>Estados</v>
      </c>
      <c r="B7" s="2" t="s">
        <v>191</v>
      </c>
      <c r="C7" s="2" t="s">
        <v>192</v>
      </c>
      <c r="D7" s="2" t="s">
        <v>193</v>
      </c>
      <c r="E7" s="2" t="s">
        <v>194</v>
      </c>
      <c r="F7" s="2" t="s">
        <v>195</v>
      </c>
      <c r="G7" s="2" t="s">
        <v>191</v>
      </c>
    </row>
    <row r="8" spans="1:7">
      <c r="A8" s="32" t="str" cm="1">
        <f t="array" aca="1" ref="A8" ca="1">INDEX(TablaIdiomas[#This Row],1,$A$1)&amp;""</f>
        <v>Criticidad</v>
      </c>
      <c r="B8" s="2" t="s">
        <v>196</v>
      </c>
      <c r="C8" s="2" t="s">
        <v>197</v>
      </c>
      <c r="D8" s="2" t="s">
        <v>198</v>
      </c>
      <c r="E8" s="2" t="s">
        <v>199</v>
      </c>
      <c r="F8" s="2" t="s">
        <v>200</v>
      </c>
      <c r="G8" s="2" t="s">
        <v>201</v>
      </c>
    </row>
    <row r="9" spans="1:7">
      <c r="A9" s="36" t="str" cm="1">
        <f t="array" aca="1" ref="A9" ca="1">INDEX(TablaIdiomas[#This Row],1,$A$1)&amp;""</f>
        <v>Miembros del equipo</v>
      </c>
      <c r="B9" s="2" t="s">
        <v>202</v>
      </c>
      <c r="C9" s="2" t="s">
        <v>203</v>
      </c>
      <c r="D9" s="2" t="s">
        <v>204</v>
      </c>
      <c r="E9" s="2" t="s">
        <v>205</v>
      </c>
      <c r="F9" s="2" t="s">
        <v>206</v>
      </c>
      <c r="G9" s="2" t="s">
        <v>207</v>
      </c>
    </row>
    <row r="10" spans="1:7">
      <c r="A10" s="32" t="str" cm="1">
        <f t="array" aca="1" ref="A10" ca="1">INDEX(TablaIdiomas[#This Row],1,$A$1)&amp;""</f>
        <v>Estado final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212</v>
      </c>
      <c r="G10" s="2" t="s">
        <v>208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213</v>
      </c>
      <c r="C11" s="2" t="s">
        <v>214</v>
      </c>
      <c r="D11" s="2" t="s">
        <v>215</v>
      </c>
      <c r="E11" s="2" t="s">
        <v>216</v>
      </c>
      <c r="F11" s="2" t="s">
        <v>217</v>
      </c>
      <c r="G11" s="2" t="s">
        <v>218</v>
      </c>
    </row>
    <row r="12" spans="1:7">
      <c r="A12" s="32" t="str" cm="1">
        <f t="array" aca="1" ref="A12" ca="1">INDEX(TablaIdiomas[#This Row],1,$A$1)&amp;""</f>
        <v>Tarea</v>
      </c>
      <c r="B12" s="2" t="s">
        <v>219</v>
      </c>
      <c r="C12" s="2" t="s">
        <v>220</v>
      </c>
      <c r="D12" s="2" t="s">
        <v>221</v>
      </c>
      <c r="E12" s="2" t="s">
        <v>222</v>
      </c>
      <c r="F12" s="2" t="s">
        <v>223</v>
      </c>
      <c r="G12" s="2" t="s">
        <v>224</v>
      </c>
    </row>
    <row r="13" spans="1:7">
      <c r="A13" s="36" t="str" cm="1">
        <f t="array" aca="1" ref="A13" ca="1">INDEX(TablaIdiomas[#This Row],1,$A$1)&amp;""</f>
        <v>Descripción</v>
      </c>
      <c r="B13" s="2" t="s">
        <v>225</v>
      </c>
      <c r="C13" s="2" t="s">
        <v>226</v>
      </c>
      <c r="D13" s="2" t="s">
        <v>226</v>
      </c>
      <c r="E13" s="2" t="s">
        <v>227</v>
      </c>
      <c r="F13" s="2" t="s">
        <v>228</v>
      </c>
      <c r="G13" s="2" t="s">
        <v>229</v>
      </c>
    </row>
    <row r="14" spans="1:7">
      <c r="A14" s="32" t="str" cm="1">
        <f t="array" aca="1" ref="A14" ca="1">INDEX(TablaIdiomas[#This Row],1,$A$1)&amp;""</f>
        <v>Inicio</v>
      </c>
      <c r="B14" s="2" t="s">
        <v>230</v>
      </c>
      <c r="C14" s="2" t="s">
        <v>231</v>
      </c>
      <c r="D14" s="2" t="s">
        <v>232</v>
      </c>
      <c r="E14" s="2" t="s">
        <v>233</v>
      </c>
      <c r="F14" s="2" t="s">
        <v>231</v>
      </c>
      <c r="G14" s="2" t="s">
        <v>234</v>
      </c>
    </row>
    <row r="15" spans="1:7">
      <c r="A15" s="36" t="str" cm="1">
        <f t="array" aca="1" ref="A15" ca="1">INDEX(TablaIdiomas[#This Row],1,$A$1)&amp;""</f>
        <v>Previsto</v>
      </c>
      <c r="B15" s="2" t="s">
        <v>235</v>
      </c>
      <c r="C15" s="2" t="s">
        <v>236</v>
      </c>
      <c r="D15" s="2" t="s">
        <v>237</v>
      </c>
      <c r="E15" s="2" t="s">
        <v>238</v>
      </c>
      <c r="F15" s="2" t="s">
        <v>239</v>
      </c>
      <c r="G15" s="2" t="s">
        <v>240</v>
      </c>
    </row>
    <row r="16" spans="1:7">
      <c r="A16" s="32" t="str" cm="1">
        <f t="array" aca="1" ref="A16" ca="1">INDEX(TablaIdiomas[#This Row],1,$A$1)&amp;""</f>
        <v>Final</v>
      </c>
      <c r="B16" s="2" t="s">
        <v>241</v>
      </c>
      <c r="C16" s="2" t="s">
        <v>241</v>
      </c>
      <c r="D16" s="2" t="s">
        <v>242</v>
      </c>
      <c r="E16" s="2" t="s">
        <v>242</v>
      </c>
      <c r="F16" s="2" t="s">
        <v>242</v>
      </c>
      <c r="G16" s="2" t="s">
        <v>241</v>
      </c>
    </row>
    <row r="17" spans="1:7">
      <c r="A17" s="36" t="str" cm="1">
        <f t="array" aca="1" ref="A17" ca="1">INDEX(TablaIdiomas[#This Row],1,$A$1)&amp;""</f>
        <v>Duración</v>
      </c>
      <c r="B17" s="2" t="s">
        <v>243</v>
      </c>
      <c r="C17" s="2" t="s">
        <v>244</v>
      </c>
      <c r="D17" s="2" t="s">
        <v>245</v>
      </c>
      <c r="E17" s="2" t="s">
        <v>246</v>
      </c>
      <c r="F17" s="2" t="s">
        <v>247</v>
      </c>
      <c r="G17" s="2" t="s">
        <v>248</v>
      </c>
    </row>
    <row r="18" spans="1:7">
      <c r="A18" s="32" t="str" cm="1">
        <f t="array" aca="1" ref="A18" ca="1">INDEX(TablaIdiomas[#This Row],1,$A$1)&amp;""</f>
        <v>Retraso</v>
      </c>
      <c r="B18" s="2" t="s">
        <v>249</v>
      </c>
      <c r="C18" s="2" t="s">
        <v>250</v>
      </c>
      <c r="D18" s="2" t="s">
        <v>251</v>
      </c>
      <c r="E18" s="2" t="s">
        <v>252</v>
      </c>
      <c r="F18" s="2" t="s">
        <v>253</v>
      </c>
      <c r="G18" s="2" t="s">
        <v>254</v>
      </c>
    </row>
    <row r="19" spans="1:7">
      <c r="A19" s="36" t="str" cm="1">
        <f t="array" aca="1" ref="A19" ca="1">INDEX(TablaIdiomas[#This Row],1,$A$1)&amp;""</f>
        <v>Asignado</v>
      </c>
      <c r="B19" s="2" t="s">
        <v>255</v>
      </c>
      <c r="C19" s="2" t="s">
        <v>256</v>
      </c>
      <c r="D19" s="2" t="s">
        <v>257</v>
      </c>
      <c r="E19" s="2" t="s">
        <v>258</v>
      </c>
      <c r="F19" s="2" t="s">
        <v>259</v>
      </c>
      <c r="G19" s="2" t="s">
        <v>260</v>
      </c>
    </row>
    <row r="20" spans="1:7">
      <c r="A20" s="32" t="str" cm="1">
        <f t="array" aca="1" ref="A20" ca="1">INDEX(TablaIdiomas[#This Row],1,$A$1)&amp;""</f>
        <v>Filtro</v>
      </c>
      <c r="B20" s="2" t="s">
        <v>261</v>
      </c>
      <c r="C20" s="2" t="s">
        <v>262</v>
      </c>
      <c r="D20" s="2" t="s">
        <v>263</v>
      </c>
      <c r="E20" s="2" t="s">
        <v>261</v>
      </c>
      <c r="F20" s="2" t="s">
        <v>262</v>
      </c>
      <c r="G20" s="2" t="s">
        <v>261</v>
      </c>
    </row>
    <row r="21" spans="1:7">
      <c r="A21" s="36" t="str" cm="1">
        <f t="array" aca="1" ref="A21" ca="1">INDEX(TablaIdiomas[#This Row],1,$A$1)&amp;""</f>
        <v>Celda</v>
      </c>
      <c r="B21" s="2" t="s">
        <v>264</v>
      </c>
      <c r="C21" s="2" t="s">
        <v>265</v>
      </c>
      <c r="D21" s="2" t="s">
        <v>266</v>
      </c>
      <c r="E21" s="2" t="s">
        <v>267</v>
      </c>
      <c r="F21" s="2" t="s">
        <v>268</v>
      </c>
      <c r="G21" s="2" t="s">
        <v>269</v>
      </c>
    </row>
    <row r="22" spans="1:7">
      <c r="A22" s="32" t="str" cm="1">
        <f t="array" aca="1" ref="A22" ca="1">INDEX(TablaIdiomas[#This Row],1,$A$1)&amp;""</f>
        <v>Tarjetas con</v>
      </c>
      <c r="B22" s="2" t="s">
        <v>270</v>
      </c>
      <c r="C22" s="2" t="s">
        <v>271</v>
      </c>
      <c r="D22" s="2" t="s">
        <v>272</v>
      </c>
      <c r="E22" s="2" t="s">
        <v>273</v>
      </c>
      <c r="F22" s="2" t="s">
        <v>274</v>
      </c>
      <c r="G22" s="2" t="s">
        <v>275</v>
      </c>
    </row>
    <row r="23" spans="1:7">
      <c r="A23" s="36" t="str" cm="1">
        <f t="array" aca="1" ref="A23" ca="1">INDEX(TablaIdiomas[#This Row],1,$A$1)&amp;""</f>
        <v>líneas</v>
      </c>
      <c r="B23" s="2" t="s">
        <v>276</v>
      </c>
      <c r="C23" s="2" t="s">
        <v>277</v>
      </c>
      <c r="D23" s="2" t="s">
        <v>278</v>
      </c>
      <c r="E23" s="2" t="s">
        <v>279</v>
      </c>
      <c r="F23" s="2" t="s">
        <v>280</v>
      </c>
      <c r="G23" s="2" t="s">
        <v>281</v>
      </c>
    </row>
    <row r="24" spans="1:7">
      <c r="A24" s="32" t="str" cm="1">
        <f t="array" aca="1" ref="A24" ca="1">INDEX(TablaIdiomas[#This Row],1,$A$1)&amp;""</f>
        <v>tareas asignadas a</v>
      </c>
      <c r="B24" s="2" t="s">
        <v>282</v>
      </c>
      <c r="C24" s="2" t="s">
        <v>283</v>
      </c>
      <c r="D24" s="2" t="s">
        <v>284</v>
      </c>
      <c r="E24" s="2" t="s">
        <v>285</v>
      </c>
      <c r="F24" s="2" t="s">
        <v>286</v>
      </c>
      <c r="G24" s="2" t="s">
        <v>287</v>
      </c>
    </row>
    <row r="25" spans="1:7">
      <c r="A25" s="36" t="str" cm="1">
        <f t="array" aca="1" ref="A25" ca="1">INDEX(TablaIdiomas[#This Row],1,$A$1)&amp;""</f>
        <v>Con criticidad</v>
      </c>
      <c r="B25" s="2" t="s">
        <v>288</v>
      </c>
      <c r="C25" s="2" t="s">
        <v>289</v>
      </c>
      <c r="D25" s="2" t="s">
        <v>290</v>
      </c>
      <c r="E25" s="2" t="s">
        <v>291</v>
      </c>
      <c r="F25" s="2" t="s">
        <v>292</v>
      </c>
      <c r="G25" s="2" t="s">
        <v>293</v>
      </c>
    </row>
    <row r="26" spans="1:7">
      <c r="A26" s="32" t="str" cm="1">
        <f t="array" aca="1" ref="A26" ca="1">INDEX(TablaIdiomas[#This Row],1,$A$1)&amp;""</f>
        <v>Con inicio desde</v>
      </c>
      <c r="B26" s="2" t="s">
        <v>294</v>
      </c>
      <c r="C26" s="2" t="s">
        <v>295</v>
      </c>
      <c r="D26" s="2" t="s">
        <v>296</v>
      </c>
      <c r="E26" s="2" t="s">
        <v>297</v>
      </c>
      <c r="F26" s="2" t="s">
        <v>298</v>
      </c>
      <c r="G26" s="2" t="s">
        <v>299</v>
      </c>
    </row>
    <row r="27" spans="1:7">
      <c r="A27" s="36" t="str" cm="1">
        <f t="array" aca="1" ref="A27" ca="1">INDEX(TablaIdiomas[#This Row],1,$A$1)&amp;""</f>
        <v>Con el texto</v>
      </c>
      <c r="B27" s="2" t="s">
        <v>300</v>
      </c>
      <c r="C27" s="2" t="s">
        <v>301</v>
      </c>
      <c r="D27" s="2" t="s">
        <v>302</v>
      </c>
      <c r="E27" s="2" t="s">
        <v>303</v>
      </c>
      <c r="F27" s="2" t="s">
        <v>304</v>
      </c>
      <c r="G27" s="2" t="s">
        <v>305</v>
      </c>
    </row>
    <row r="28" spans="1:7">
      <c r="A28" s="32" t="str" cm="1">
        <f t="array" aca="1" ref="A28" ca="1">INDEX(TablaIdiomas[#This Row],1,$A$1)&amp;""</f>
        <v>Con un retraso &gt;</v>
      </c>
      <c r="B28" s="2" t="s">
        <v>306</v>
      </c>
      <c r="C28" s="2" t="s">
        <v>307</v>
      </c>
      <c r="D28" s="2" t="s">
        <v>308</v>
      </c>
      <c r="E28" s="2" t="s">
        <v>309</v>
      </c>
      <c r="F28" s="2" t="s">
        <v>310</v>
      </c>
      <c r="G28" s="2" t="s">
        <v>311</v>
      </c>
    </row>
    <row r="29" spans="1:7">
      <c r="A29" s="36" t="str" cm="1">
        <f t="array" aca="1" ref="A29" ca="1">INDEX(TablaIdiomas[#This Row],1,$A$1)&amp;""</f>
        <v>días</v>
      </c>
      <c r="B29" s="2" t="s">
        <v>312</v>
      </c>
      <c r="C29" s="2" t="s">
        <v>313</v>
      </c>
      <c r="D29" s="2" t="s">
        <v>314</v>
      </c>
      <c r="E29" s="2" t="s">
        <v>315</v>
      </c>
      <c r="F29" s="2" t="s">
        <v>316</v>
      </c>
      <c r="G29" s="2" t="s">
        <v>317</v>
      </c>
    </row>
    <row r="30" spans="1:7">
      <c r="A30" s="32" t="str" cm="1">
        <f t="array" aca="1" ref="A30" ca="1">INDEX(TablaIdiomas[#This Row],1,$A$1)&amp;""</f>
        <v>Orden en tarjetas</v>
      </c>
      <c r="B30" s="2" t="s">
        <v>318</v>
      </c>
      <c r="C30" s="2" t="s">
        <v>319</v>
      </c>
      <c r="D30" s="2" t="s">
        <v>320</v>
      </c>
      <c r="E30" s="2" t="s">
        <v>321</v>
      </c>
      <c r="F30" s="2" t="s">
        <v>322</v>
      </c>
      <c r="G30" s="2" t="s">
        <v>323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324</v>
      </c>
      <c r="C31" s="2" t="s">
        <v>325</v>
      </c>
      <c r="D31" s="2" t="s">
        <v>326</v>
      </c>
      <c r="E31" s="2" t="s">
        <v>327</v>
      </c>
      <c r="F31" s="2" t="s">
        <v>328</v>
      </c>
      <c r="G31" s="2" t="s">
        <v>329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330</v>
      </c>
      <c r="C32" s="2" t="s">
        <v>331</v>
      </c>
      <c r="D32" s="2" t="s">
        <v>332</v>
      </c>
      <c r="E32" s="2" t="s">
        <v>333</v>
      </c>
      <c r="F32" s="2" t="s">
        <v>334</v>
      </c>
      <c r="G32" s="2" t="s">
        <v>335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336</v>
      </c>
      <c r="C33" s="2" t="s">
        <v>337</v>
      </c>
      <c r="D33" s="2" t="s">
        <v>338</v>
      </c>
      <c r="E33" s="2" t="s">
        <v>339</v>
      </c>
      <c r="F33" s="2" t="s">
        <v>340</v>
      </c>
      <c r="G33" s="2" t="s">
        <v>341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2026-01-16T01:08:46Z</dcterms:modified>
  <cp:category/>
  <cp:contentStatus/>
</cp:coreProperties>
</file>