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R12ES4M\Downloads\"/>
    </mc:Choice>
  </mc:AlternateContent>
  <xr:revisionPtr revIDLastSave="0" documentId="8_{B6DE01AF-B86F-4102-972D-BAC8D5C8ED5F}" xr6:coauthVersionLast="47" xr6:coauthVersionMax="47" xr10:uidLastSave="{00000000-0000-0000-0000-000000000000}"/>
  <workbookProtection lockStructure="1"/>
  <bookViews>
    <workbookView xWindow="-110" yWindow="-110" windowWidth="19420" windowHeight="1042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Datos!$A$1:$K$102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Datos!$A$1:$K$102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Datos!$A$2:$K$102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Datos!$J$2:$J$102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Datos!$E$2:$E$102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2" l="1" a="1"/>
  <c r="I102" i="2" s="1"/>
  <c r="H102" i="2"/>
  <c r="I101" i="2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I45" i="2" s="1" a="1"/>
  <c r="I45" i="2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45" i="2" l="1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A69" i="5"/>
  <c r="A70" i="5"/>
  <c r="A67" i="5"/>
  <c r="A68" i="5"/>
  <c r="A65" i="5"/>
  <c r="A66" i="5"/>
  <c r="A63" i="5"/>
  <c r="A64" i="5"/>
  <c r="A61" i="5"/>
  <c r="A62" i="5"/>
  <c r="H59" i="2"/>
  <c r="H53" i="2"/>
  <c r="I58" i="2" a="1"/>
  <c r="I58" i="2" s="1"/>
  <c r="D57" i="5" s="1" a="1"/>
  <c r="D57" i="5" s="1"/>
  <c r="I52" i="2" a="1"/>
  <c r="I52" i="2" s="1"/>
  <c r="H58" i="2"/>
  <c r="H52" i="2"/>
  <c r="I57" i="2" a="1"/>
  <c r="I57" i="2" s="1"/>
  <c r="H56" i="2"/>
  <c r="I55" i="2" a="1"/>
  <c r="I55" i="2" s="1"/>
  <c r="H55" i="2"/>
  <c r="H60" i="2"/>
  <c r="I59" i="2" a="1"/>
  <c r="I59" i="2" s="1"/>
  <c r="H57" i="2"/>
  <c r="I56" i="2" a="1"/>
  <c r="I56" i="2" s="1"/>
  <c r="I61" i="2" a="1"/>
  <c r="I61" i="2" s="1"/>
  <c r="H61" i="2"/>
  <c r="I60" i="2" a="1"/>
  <c r="I60" i="2" s="1"/>
  <c r="H54" i="2"/>
  <c r="I53" i="2" a="1"/>
  <c r="I53" i="2" s="1"/>
  <c r="I54" i="2" a="1"/>
  <c r="I54" i="2" s="1"/>
  <c r="D53" i="5" s="1" a="1"/>
  <c r="D53" i="5" s="1"/>
  <c r="A58" i="5"/>
  <c r="A59" i="5"/>
  <c r="A60" i="5"/>
  <c r="A53" i="5"/>
  <c r="A54" i="5"/>
  <c r="A55" i="5"/>
  <c r="A56" i="5"/>
  <c r="A57" i="5"/>
  <c r="AJ2" i="1"/>
  <c r="I86" i="2" a="1"/>
  <c r="I86" i="2" s="1"/>
  <c r="H86" i="2"/>
  <c r="H9" i="3"/>
  <c r="A85" i="5"/>
  <c r="AC2" i="1"/>
  <c r="AE2" i="1"/>
  <c r="I51" i="2" a="1"/>
  <c r="I51" i="2" s="1"/>
  <c r="H46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1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50" i="2" a="1"/>
  <c r="I50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50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9" i="2" a="1"/>
  <c r="I49" i="2" s="1"/>
  <c r="H43" i="2"/>
  <c r="H38" i="2"/>
  <c r="H32" i="2"/>
  <c r="H26" i="2"/>
  <c r="H20" i="2"/>
  <c r="H14" i="2"/>
  <c r="H8" i="2"/>
  <c r="H2" i="2"/>
  <c r="I19" i="2" a="1"/>
  <c r="I19" i="2" s="1"/>
  <c r="H47" i="2"/>
  <c r="H49" i="2"/>
  <c r="I37" i="2" a="1"/>
  <c r="I37" i="2" s="1"/>
  <c r="I31" i="2" a="1"/>
  <c r="I31" i="2" s="1"/>
  <c r="I25" i="2" a="1"/>
  <c r="I25" i="2" s="1"/>
  <c r="I13" i="2" a="1"/>
  <c r="I13" i="2" s="1"/>
  <c r="H11" i="2"/>
  <c r="I48" i="2" a="1"/>
  <c r="I48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8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7" i="2" a="1"/>
  <c r="I47" i="2" s="1"/>
  <c r="H41" i="2"/>
  <c r="I35" i="2" a="1"/>
  <c r="I35" i="2" s="1"/>
  <c r="I23" i="2" a="1"/>
  <c r="I23" i="2" s="1"/>
  <c r="I5" i="2" a="1"/>
  <c r="I5" i="2" s="1"/>
  <c r="I46" i="2" a="1"/>
  <c r="I46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8" i="5" l="1" a="1"/>
  <c r="D58" i="5" s="1"/>
  <c r="D55" i="5" a="1"/>
  <c r="D55" i="5" s="1"/>
  <c r="D60" i="5" a="1"/>
  <c r="D60" i="5" s="1"/>
  <c r="D62" i="5" a="1"/>
  <c r="D62" i="5" s="1"/>
  <c r="D63" i="5" a="1"/>
  <c r="D63" i="5" s="1"/>
  <c r="D64" i="5" a="1"/>
  <c r="D64" i="5" s="1"/>
  <c r="D65" i="5" a="1"/>
  <c r="D65" i="5" s="1"/>
  <c r="D66" i="5" a="1"/>
  <c r="D66" i="5" s="1"/>
  <c r="D67" i="5" a="1"/>
  <c r="D67" i="5" s="1"/>
  <c r="D68" i="5" a="1"/>
  <c r="D68" i="5" s="1"/>
  <c r="D69" i="5" a="1"/>
  <c r="D69" i="5" s="1"/>
  <c r="D70" i="5" a="1"/>
  <c r="D70" i="5" s="1"/>
  <c r="D61" i="5" a="1"/>
  <c r="D61" i="5" s="1"/>
  <c r="D54" i="5" a="1"/>
  <c r="D54" i="5" s="1"/>
  <c r="D51" i="5" a="1"/>
  <c r="D51" i="5" s="1"/>
  <c r="D59" i="5" a="1"/>
  <c r="D59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34" i="5"/>
  <c r="G81" i="5"/>
  <c r="G26" i="5"/>
  <c r="G20" i="5"/>
  <c r="G82" i="5"/>
  <c r="G2" i="5"/>
  <c r="G94" i="5"/>
  <c r="G92" i="5"/>
  <c r="G79" i="5"/>
  <c r="G9" i="5"/>
  <c r="G17" i="5"/>
  <c r="G88" i="5"/>
  <c r="G89" i="5"/>
  <c r="G84" i="5"/>
  <c r="G8" i="5"/>
  <c r="G45" i="5"/>
  <c r="G16" i="5"/>
  <c r="G11" i="5"/>
  <c r="G49" i="5"/>
  <c r="G90" i="5"/>
  <c r="G100" i="5"/>
  <c r="G78" i="5"/>
  <c r="G13" i="5"/>
  <c r="G28" i="5"/>
  <c r="G19" i="5"/>
  <c r="G39" i="5"/>
  <c r="G74" i="5"/>
  <c r="G83" i="5"/>
  <c r="G43" i="5"/>
  <c r="G93" i="5"/>
  <c r="G7" i="5"/>
  <c r="G31" i="5"/>
  <c r="G25" i="5"/>
  <c r="G46" i="5"/>
  <c r="G29" i="5"/>
  <c r="G58" i="5"/>
  <c r="G71" i="5"/>
  <c r="G24" i="5"/>
  <c r="G61" i="5"/>
  <c r="G14" i="5"/>
  <c r="G87" i="5"/>
  <c r="G72" i="5"/>
  <c r="G37" i="5"/>
  <c r="G65" i="5"/>
  <c r="G60" i="5"/>
  <c r="G63" i="5"/>
  <c r="G73" i="5"/>
  <c r="G66" i="5"/>
  <c r="G30" i="5"/>
  <c r="G32" i="5"/>
  <c r="G53" i="5"/>
  <c r="G69" i="5"/>
  <c r="G47" i="5"/>
  <c r="G85" i="5"/>
  <c r="G35" i="5"/>
  <c r="G6" i="5"/>
  <c r="G77" i="5"/>
  <c r="G76" i="5"/>
  <c r="G40" i="5"/>
  <c r="G18" i="5"/>
  <c r="G56" i="5"/>
  <c r="G41" i="5"/>
  <c r="G97" i="5"/>
  <c r="G10" i="5"/>
  <c r="G22" i="5"/>
  <c r="G54" i="5"/>
  <c r="G4" i="5"/>
  <c r="G101" i="5"/>
  <c r="G96" i="5"/>
  <c r="G36" i="5"/>
  <c r="G5" i="5"/>
  <c r="G42" i="5"/>
  <c r="G95" i="5"/>
  <c r="G23" i="5"/>
  <c r="G99" i="5"/>
  <c r="G64" i="5"/>
  <c r="G38" i="5"/>
  <c r="G80" i="5"/>
  <c r="G59" i="5"/>
  <c r="G86" i="5"/>
  <c r="G27" i="5"/>
  <c r="G50" i="5"/>
  <c r="G12" i="5"/>
  <c r="G3" i="5"/>
  <c r="G48" i="5"/>
  <c r="G55" i="5"/>
  <c r="G15" i="5"/>
  <c r="G21" i="5"/>
  <c r="G33" i="5"/>
  <c r="G62" i="5"/>
  <c r="G44" i="5"/>
  <c r="G98" i="5"/>
  <c r="G91" i="5"/>
  <c r="G70" i="5"/>
  <c r="G51" i="5"/>
  <c r="G75" i="5"/>
  <c r="G68" i="5"/>
  <c r="G52" i="5"/>
  <c r="G67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94" i="5"/>
  <c r="E43" i="5"/>
  <c r="N43" i="5"/>
  <c r="M21" i="5"/>
  <c r="M17" i="5"/>
  <c r="M49" i="5"/>
  <c r="E30" i="5"/>
  <c r="E36" i="5"/>
  <c r="E41" i="5"/>
  <c r="M59" i="5"/>
  <c r="N42" i="5"/>
  <c r="M93" i="5"/>
  <c r="M64" i="5"/>
  <c r="E8" i="5"/>
  <c r="M95" i="5"/>
  <c r="E71" i="5"/>
  <c r="E28" i="5"/>
  <c r="M87" i="5"/>
  <c r="N58" i="5"/>
  <c r="M23" i="5"/>
  <c r="N66" i="5"/>
  <c r="E27" i="5"/>
  <c r="E47" i="5"/>
  <c r="E40" i="5"/>
  <c r="M82" i="5"/>
  <c r="N28" i="5"/>
  <c r="E52" i="5"/>
  <c r="E95" i="5"/>
  <c r="N18" i="5"/>
  <c r="E82" i="5"/>
  <c r="E91" i="5"/>
  <c r="E21" i="5"/>
  <c r="E55" i="5"/>
  <c r="N13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E4" i="5"/>
  <c r="M34" i="5"/>
  <c r="E67" i="5"/>
  <c r="M74" i="5"/>
  <c r="M46" i="5"/>
  <c r="N39" i="5"/>
  <c r="N12" i="5"/>
  <c r="E99" i="5"/>
  <c r="E14" i="5"/>
  <c r="E64" i="5"/>
  <c r="N84" i="5"/>
  <c r="E100" i="5"/>
  <c r="M65" i="5"/>
  <c r="M76" i="5"/>
  <c r="M94" i="5"/>
  <c r="N92" i="5"/>
  <c r="M40" i="5"/>
  <c r="N10" i="5"/>
  <c r="N55" i="5"/>
  <c r="E68" i="5"/>
  <c r="N34" i="5"/>
  <c r="N80" i="5"/>
  <c r="M50" i="5"/>
  <c r="N32" i="5"/>
  <c r="E35" i="5"/>
  <c r="M43" i="5"/>
  <c r="E80" i="5"/>
  <c r="N46" i="5"/>
  <c r="M61" i="5"/>
  <c r="E59" i="5"/>
  <c r="M5" i="5"/>
  <c r="M71" i="5"/>
  <c r="N15" i="5"/>
  <c r="E90" i="5"/>
  <c r="J21" i="5"/>
  <c r="L52" i="5"/>
  <c r="J73" i="5"/>
  <c r="J58" i="5"/>
  <c r="N3" i="5"/>
  <c r="N100" i="5"/>
  <c r="N73" i="5"/>
  <c r="E56" i="5"/>
  <c r="N8" i="5"/>
  <c r="N90" i="5"/>
  <c r="N77" i="5"/>
  <c r="N76" i="5"/>
  <c r="E89" i="5"/>
  <c r="E25" i="5"/>
  <c r="L96" i="5"/>
  <c r="E26" i="5"/>
  <c r="M14" i="5"/>
  <c r="M90" i="5"/>
  <c r="N48" i="5"/>
  <c r="E46" i="5"/>
  <c r="M31" i="5"/>
  <c r="N6" i="5"/>
  <c r="E75" i="5"/>
  <c r="M98" i="5"/>
  <c r="N29" i="5"/>
  <c r="M69" i="5"/>
  <c r="M3" i="5"/>
  <c r="E32" i="5"/>
  <c r="E31" i="5"/>
  <c r="N78" i="5"/>
  <c r="M58" i="5"/>
  <c r="M92" i="5"/>
  <c r="N59" i="5"/>
  <c r="J82" i="5"/>
  <c r="M22" i="5"/>
  <c r="N9" i="5"/>
  <c r="M78" i="5"/>
  <c r="N63" i="5"/>
  <c r="N36" i="5"/>
  <c r="M11" i="5"/>
  <c r="J20" i="5"/>
  <c r="M99" i="5"/>
  <c r="E97" i="5"/>
  <c r="M91" i="5"/>
  <c r="M72" i="5"/>
  <c r="N64" i="5"/>
  <c r="M4" i="5"/>
  <c r="M25" i="5"/>
  <c r="M55" i="5"/>
  <c r="N19" i="5"/>
  <c r="N61" i="5"/>
  <c r="M62" i="5"/>
  <c r="N23" i="5"/>
  <c r="E39" i="5"/>
  <c r="E54" i="5"/>
  <c r="N65" i="5"/>
  <c r="N75" i="5"/>
  <c r="E50" i="5"/>
  <c r="N54" i="5"/>
  <c r="E48" i="5"/>
  <c r="E60" i="5"/>
  <c r="N49" i="5"/>
  <c r="N11" i="5"/>
  <c r="M9" i="5"/>
  <c r="L11" i="5"/>
  <c r="L88" i="5"/>
  <c r="N98" i="5"/>
  <c r="E53" i="5"/>
  <c r="M39" i="5"/>
  <c r="M28" i="5"/>
  <c r="N5" i="5"/>
  <c r="E9" i="5"/>
  <c r="M66" i="5"/>
  <c r="M20" i="5"/>
  <c r="M16" i="5"/>
  <c r="M100" i="5"/>
  <c r="E88" i="5"/>
  <c r="M83" i="5"/>
  <c r="E5" i="5"/>
  <c r="E20" i="5"/>
  <c r="N89" i="5"/>
  <c r="E69" i="5"/>
  <c r="L7" i="5"/>
  <c r="E38" i="5"/>
  <c r="M97" i="5"/>
  <c r="N40" i="5"/>
  <c r="M47" i="5"/>
  <c r="M84" i="5"/>
  <c r="N33" i="5"/>
  <c r="N71" i="5"/>
  <c r="N82" i="5"/>
  <c r="M86" i="5"/>
  <c r="N57" i="5"/>
  <c r="M70" i="5"/>
  <c r="N17" i="5"/>
  <c r="E3" i="5"/>
  <c r="N20" i="5"/>
  <c r="E93" i="5"/>
  <c r="E65" i="5"/>
  <c r="M32" i="5"/>
  <c r="E44" i="5"/>
  <c r="N2" i="5"/>
  <c r="E15" i="5"/>
  <c r="M53" i="5"/>
  <c r="N85" i="5"/>
  <c r="N51" i="5"/>
  <c r="N44" i="5"/>
  <c r="E98" i="5"/>
  <c r="E49" i="5"/>
  <c r="M38" i="5"/>
  <c r="N30" i="5"/>
  <c r="N45" i="5"/>
  <c r="M101" i="5"/>
  <c r="M30" i="5"/>
  <c r="E61" i="5"/>
  <c r="N52" i="5"/>
  <c r="M41" i="5"/>
  <c r="M60" i="5"/>
  <c r="E72" i="5"/>
  <c r="E23" i="5"/>
  <c r="E57" i="5"/>
  <c r="M13" i="5"/>
  <c r="M54" i="5"/>
  <c r="M6" i="5"/>
  <c r="L34" i="5"/>
  <c r="L37" i="5"/>
  <c r="L51" i="5"/>
  <c r="L29" i="5"/>
  <c r="M79" i="5"/>
  <c r="N56" i="5"/>
  <c r="E94" i="5"/>
  <c r="L73" i="5"/>
  <c r="N60" i="5"/>
  <c r="M33" i="5"/>
  <c r="M26" i="5"/>
  <c r="N27" i="5"/>
  <c r="M77" i="5"/>
  <c r="E2" i="5"/>
  <c r="E86" i="5"/>
  <c r="M12" i="5"/>
  <c r="E18" i="5"/>
  <c r="E73" i="5"/>
  <c r="N83" i="5"/>
  <c r="M85" i="5"/>
  <c r="E101" i="5"/>
  <c r="E37" i="5"/>
  <c r="E63" i="5"/>
  <c r="N50" i="5"/>
  <c r="E92" i="5"/>
  <c r="N87" i="5"/>
  <c r="E70" i="5"/>
  <c r="M7" i="5"/>
  <c r="E87" i="5"/>
  <c r="M36" i="5"/>
  <c r="M44" i="5"/>
  <c r="M52" i="5"/>
  <c r="M18" i="5"/>
  <c r="N24" i="5"/>
  <c r="E24" i="5"/>
  <c r="E78" i="5"/>
  <c r="N22" i="5"/>
  <c r="N26" i="5"/>
  <c r="E6" i="5"/>
  <c r="N70" i="5"/>
  <c r="N35" i="5"/>
  <c r="L28" i="5"/>
  <c r="J11" i="5"/>
  <c r="L48" i="5"/>
  <c r="L56" i="5"/>
  <c r="N47" i="5"/>
  <c r="E45" i="5"/>
  <c r="E10" i="5"/>
  <c r="M89" i="5"/>
  <c r="M42" i="5"/>
  <c r="M88" i="5"/>
  <c r="M15" i="5"/>
  <c r="M45" i="5"/>
  <c r="N97" i="5"/>
  <c r="E42" i="5"/>
  <c r="E96" i="5"/>
  <c r="E84" i="5"/>
  <c r="N91" i="5"/>
  <c r="E34" i="5"/>
  <c r="N25" i="5"/>
  <c r="E77" i="5"/>
  <c r="N74" i="5"/>
  <c r="M75" i="5"/>
  <c r="N53" i="5"/>
  <c r="N69" i="5"/>
  <c r="M80" i="5"/>
  <c r="N99" i="5"/>
  <c r="E22" i="5"/>
  <c r="E85" i="5"/>
  <c r="N21" i="5"/>
  <c r="J64" i="5"/>
  <c r="L5" i="5"/>
  <c r="M24" i="5"/>
  <c r="M81" i="5"/>
  <c r="N79" i="5"/>
  <c r="E79" i="5"/>
  <c r="N81" i="5"/>
  <c r="N96" i="5"/>
  <c r="M19" i="5"/>
  <c r="E7" i="5"/>
  <c r="E58" i="5"/>
  <c r="J78" i="5"/>
  <c r="M37" i="5"/>
  <c r="E76" i="5"/>
  <c r="M96" i="5"/>
  <c r="N37" i="5"/>
  <c r="E83" i="5"/>
  <c r="N41" i="5"/>
  <c r="M51" i="5"/>
  <c r="E19" i="5"/>
  <c r="J42" i="5"/>
  <c r="J70" i="5"/>
  <c r="N88" i="5"/>
  <c r="E29" i="5"/>
  <c r="M8" i="5"/>
  <c r="E62" i="5"/>
  <c r="N72" i="5"/>
  <c r="E17" i="5"/>
  <c r="E11" i="5"/>
  <c r="L41" i="5"/>
  <c r="M68" i="5"/>
  <c r="N86" i="5"/>
  <c r="N7" i="5"/>
  <c r="M56" i="5"/>
  <c r="M2" i="5"/>
  <c r="N16" i="5"/>
  <c r="E12" i="5"/>
  <c r="M57" i="5"/>
  <c r="M29" i="5"/>
  <c r="M27" i="5"/>
  <c r="M48" i="5"/>
  <c r="E74" i="5"/>
  <c r="E33" i="5"/>
  <c r="M73" i="5"/>
  <c r="N67" i="5"/>
  <c r="N14" i="5"/>
  <c r="E66" i="5"/>
  <c r="E81" i="5"/>
  <c r="N95" i="5"/>
  <c r="M63" i="5"/>
  <c r="N4" i="5"/>
  <c r="M67" i="5"/>
  <c r="N93" i="5"/>
  <c r="N62" i="5"/>
  <c r="N68" i="5"/>
  <c r="E16" i="5"/>
  <c r="N101" i="5"/>
  <c r="M35" i="5"/>
  <c r="N31" i="5"/>
  <c r="M10" i="5"/>
  <c r="N38" i="5"/>
  <c r="E13" i="5"/>
  <c r="E51" i="5"/>
  <c r="J14" i="5"/>
  <c r="L45" i="5"/>
  <c r="J83" i="5"/>
  <c r="L6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J65" i="5"/>
  <c r="L77" i="5"/>
  <c r="J39" i="5"/>
  <c r="L50" i="5"/>
  <c r="J51" i="5"/>
  <c r="J25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L13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K37" i="5"/>
  <c r="J60" i="5"/>
  <c r="J75" i="5"/>
  <c r="J88" i="5"/>
  <c r="L61" i="5"/>
  <c r="L83" i="5"/>
  <c r="K24" i="5"/>
  <c r="K67" i="5"/>
  <c r="L26" i="5"/>
  <c r="J81" i="5"/>
  <c r="L91" i="5"/>
  <c r="J41" i="5"/>
  <c r="L47" i="5"/>
  <c r="J57" i="5"/>
  <c r="K4" i="5"/>
  <c r="L17" i="5"/>
  <c r="J96" i="5"/>
  <c r="L42" i="5"/>
  <c r="K27" i="5"/>
  <c r="K47" i="5"/>
  <c r="J59" i="5"/>
  <c r="L81" i="5"/>
  <c r="L32" i="5"/>
  <c r="K76" i="5"/>
  <c r="L72" i="5"/>
  <c r="L79" i="5"/>
  <c r="K30" i="5"/>
  <c r="L40" i="5"/>
  <c r="L27" i="5"/>
  <c r="J45" i="5"/>
  <c r="K29" i="5"/>
  <c r="K99" i="5"/>
  <c r="L85" i="5"/>
  <c r="J52" i="5"/>
  <c r="J85" i="5"/>
  <c r="K50" i="5"/>
  <c r="L101" i="5"/>
  <c r="K74" i="5"/>
  <c r="K94" i="5"/>
  <c r="K25" i="5"/>
  <c r="J79" i="5"/>
  <c r="L78" i="5"/>
  <c r="K28" i="5"/>
  <c r="K72" i="5"/>
  <c r="J13" i="5"/>
  <c r="J66" i="5"/>
  <c r="J72" i="5"/>
  <c r="K77" i="5"/>
  <c r="L18" i="5"/>
  <c r="K84" i="5"/>
  <c r="K32" i="5"/>
  <c r="K26" i="5"/>
  <c r="K60" i="5"/>
  <c r="L58" i="5"/>
  <c r="J97" i="5"/>
  <c r="L46" i="5"/>
  <c r="J4" i="5"/>
  <c r="J3" i="5"/>
  <c r="L21" i="5"/>
  <c r="K70" i="5"/>
  <c r="K61" i="5"/>
  <c r="K2" i="5"/>
  <c r="K82" i="5"/>
  <c r="J17" i="5"/>
  <c r="J10" i="5"/>
  <c r="I58" i="5"/>
  <c r="K49" i="5"/>
  <c r="K65" i="5"/>
  <c r="K43" i="5"/>
  <c r="J40" i="5"/>
  <c r="J37" i="5"/>
  <c r="J18" i="5"/>
  <c r="J8" i="5"/>
  <c r="J6" i="5"/>
  <c r="K71" i="5"/>
  <c r="J56" i="5"/>
  <c r="K57" i="5"/>
  <c r="K11" i="5"/>
  <c r="J89" i="5"/>
  <c r="J23" i="5"/>
  <c r="I85" i="5"/>
  <c r="J62" i="5"/>
  <c r="L2" i="5"/>
  <c r="J87" i="5"/>
  <c r="J80" i="5"/>
  <c r="J22" i="5"/>
  <c r="L82" i="5"/>
  <c r="K59" i="5"/>
  <c r="L99" i="5"/>
  <c r="L74" i="5"/>
  <c r="I75" i="5"/>
  <c r="J36" i="5"/>
  <c r="J55" i="5"/>
  <c r="L15" i="5"/>
  <c r="L20" i="5"/>
  <c r="L12" i="5"/>
  <c r="K68" i="5"/>
  <c r="S194" i="1" l="1" a="1"/>
  <c r="S194" i="1" s="1"/>
  <c r="R194" i="1" a="1"/>
  <c r="R194" i="1" s="1"/>
  <c r="R193" i="4"/>
  <c r="U192" i="4" a="1"/>
  <c r="U192" i="4" s="1"/>
  <c r="T194" i="1" s="1" a="1"/>
  <c r="T194" i="1" s="1"/>
  <c r="K39" i="5"/>
  <c r="K54" i="5"/>
  <c r="L22" i="5"/>
  <c r="J49" i="5"/>
  <c r="L69" i="5"/>
  <c r="J67" i="5"/>
  <c r="L86" i="5"/>
  <c r="K44" i="5"/>
  <c r="I31" i="5"/>
  <c r="F58" i="5"/>
  <c r="I21" i="5"/>
  <c r="K13" i="5"/>
  <c r="L23" i="5"/>
  <c r="J24" i="5"/>
  <c r="L4" i="5"/>
  <c r="J31" i="5"/>
  <c r="K93" i="5"/>
  <c r="K42" i="5"/>
  <c r="I30" i="5"/>
  <c r="K87" i="5"/>
  <c r="K53" i="5"/>
  <c r="L70" i="5"/>
  <c r="K41" i="5"/>
  <c r="L54" i="5"/>
  <c r="K75" i="5"/>
  <c r="K15" i="5"/>
  <c r="I35" i="5"/>
  <c r="I81" i="5"/>
  <c r="I39" i="5"/>
  <c r="I17" i="5"/>
  <c r="F83" i="5"/>
  <c r="F49" i="5"/>
  <c r="F11" i="5"/>
  <c r="L53" i="5"/>
  <c r="I47" i="5"/>
  <c r="J100" i="5"/>
  <c r="J77" i="5"/>
  <c r="L25" i="5"/>
  <c r="F88" i="5"/>
  <c r="I19" i="5"/>
  <c r="J92" i="5"/>
  <c r="L97" i="5"/>
  <c r="K56" i="5"/>
  <c r="K6" i="5"/>
  <c r="F98" i="5"/>
  <c r="J98" i="5"/>
  <c r="K33" i="5"/>
  <c r="F40" i="5"/>
  <c r="J28" i="5"/>
  <c r="K36" i="5"/>
  <c r="L36" i="5"/>
  <c r="J68" i="5"/>
  <c r="J93" i="5"/>
  <c r="I16" i="5"/>
  <c r="L31" i="5"/>
  <c r="I59" i="5"/>
  <c r="K38" i="5"/>
  <c r="K55" i="5"/>
  <c r="L30" i="5"/>
  <c r="K100" i="5"/>
  <c r="L76" i="5"/>
  <c r="K17" i="5"/>
  <c r="K101" i="5"/>
  <c r="K81" i="5"/>
  <c r="I62" i="5"/>
  <c r="I84" i="5"/>
  <c r="K88" i="5"/>
  <c r="K3" i="5"/>
  <c r="J9" i="5"/>
  <c r="K20" i="5"/>
  <c r="L68" i="5"/>
  <c r="K12" i="5"/>
  <c r="K73" i="5"/>
  <c r="I33" i="5"/>
  <c r="I61" i="5"/>
  <c r="K64" i="5"/>
  <c r="J44" i="5"/>
  <c r="L66" i="5"/>
  <c r="K95" i="5"/>
  <c r="L64" i="5"/>
  <c r="J43" i="5"/>
  <c r="L95" i="5"/>
  <c r="I13" i="5"/>
  <c r="F42" i="5"/>
  <c r="I76" i="5"/>
  <c r="F97" i="5"/>
  <c r="I5" i="5"/>
  <c r="I55" i="5"/>
  <c r="F7" i="5"/>
  <c r="I50" i="5"/>
  <c r="J34" i="5"/>
  <c r="L67" i="5"/>
  <c r="L59" i="5"/>
  <c r="L3" i="5"/>
  <c r="L57" i="5"/>
  <c r="I66" i="5"/>
  <c r="F95" i="5"/>
  <c r="J32" i="5"/>
  <c r="I67" i="5"/>
  <c r="J35" i="5"/>
  <c r="K89" i="5"/>
  <c r="J46" i="5"/>
  <c r="F93" i="5"/>
  <c r="I87" i="5"/>
  <c r="K8" i="5"/>
  <c r="K83" i="5"/>
  <c r="J27" i="5"/>
  <c r="K80" i="5"/>
  <c r="J69" i="5"/>
  <c r="K34" i="5"/>
  <c r="K23" i="5"/>
  <c r="I72" i="5"/>
  <c r="I25" i="5"/>
  <c r="I9" i="5"/>
  <c r="K92" i="5"/>
  <c r="K18" i="5"/>
  <c r="J33" i="5"/>
  <c r="L80" i="5"/>
  <c r="J7" i="5"/>
  <c r="K79" i="5"/>
  <c r="J50" i="5"/>
  <c r="I23" i="5"/>
  <c r="I15" i="5"/>
  <c r="L10" i="5"/>
  <c r="J91" i="5"/>
  <c r="J95" i="5"/>
  <c r="J29" i="5"/>
  <c r="L75" i="5"/>
  <c r="J2" i="5"/>
  <c r="K16" i="5"/>
  <c r="I57" i="5"/>
  <c r="I78" i="5"/>
  <c r="F5" i="5"/>
  <c r="I77" i="5"/>
  <c r="I94" i="5"/>
  <c r="I34" i="5"/>
  <c r="I83" i="5"/>
  <c r="F101" i="5"/>
  <c r="K96" i="5"/>
  <c r="K19" i="5"/>
  <c r="L89" i="5"/>
  <c r="L24" i="5"/>
  <c r="L55" i="5"/>
  <c r="K91" i="5"/>
  <c r="L44" i="5"/>
  <c r="F62" i="5"/>
  <c r="F31" i="5"/>
  <c r="J26" i="5"/>
  <c r="L71" i="5"/>
  <c r="J90" i="5"/>
  <c r="F21" i="5"/>
  <c r="J47" i="5"/>
  <c r="J48" i="5"/>
  <c r="K35" i="5"/>
  <c r="I79" i="5"/>
  <c r="F12" i="5"/>
  <c r="F70" i="5"/>
  <c r="F99" i="5"/>
  <c r="L63" i="5"/>
  <c r="J38" i="5"/>
  <c r="J19" i="5"/>
  <c r="K45" i="5"/>
  <c r="J15" i="5"/>
  <c r="L8" i="5"/>
  <c r="J61" i="5"/>
  <c r="I48" i="5"/>
  <c r="F61" i="5"/>
  <c r="F79" i="5"/>
  <c r="I68" i="5"/>
  <c r="J101" i="5"/>
  <c r="K58" i="5"/>
  <c r="I7" i="5"/>
  <c r="L84" i="5"/>
  <c r="K10" i="5"/>
  <c r="J53" i="5"/>
  <c r="I63" i="5"/>
  <c r="F39" i="5"/>
  <c r="L38" i="5"/>
  <c r="I37" i="5"/>
  <c r="J30" i="5"/>
  <c r="J84" i="5"/>
  <c r="F26" i="5"/>
  <c r="I10" i="5"/>
  <c r="J12" i="5"/>
  <c r="J63" i="5"/>
  <c r="K5" i="5"/>
  <c r="K98" i="5"/>
  <c r="L90" i="5"/>
  <c r="K63" i="5"/>
  <c r="L98" i="5"/>
  <c r="I12" i="5"/>
  <c r="F24" i="5"/>
  <c r="F3" i="5"/>
  <c r="J5" i="5"/>
  <c r="K9" i="5"/>
  <c r="K86" i="5"/>
  <c r="J76" i="5"/>
  <c r="K62" i="5"/>
  <c r="K14" i="5"/>
  <c r="L87" i="5"/>
  <c r="I14" i="5"/>
  <c r="F16" i="5"/>
  <c r="K52" i="5"/>
  <c r="L9" i="5"/>
  <c r="L33" i="5"/>
  <c r="J74" i="5"/>
  <c r="L62" i="5"/>
  <c r="K22" i="5"/>
  <c r="L39" i="5"/>
  <c r="I86" i="5"/>
  <c r="F59" i="5"/>
  <c r="F89" i="5"/>
  <c r="F90" i="5"/>
  <c r="I49" i="5"/>
  <c r="I44" i="5"/>
  <c r="I101" i="5"/>
  <c r="I97" i="5"/>
  <c r="K48" i="5"/>
  <c r="K21" i="5"/>
  <c r="K40" i="5"/>
  <c r="L65" i="5"/>
  <c r="I51" i="5"/>
  <c r="L60" i="5"/>
  <c r="J94" i="5"/>
  <c r="L49" i="5"/>
  <c r="K7" i="5"/>
  <c r="I29" i="5"/>
  <c r="I73" i="5"/>
  <c r="F41" i="5"/>
  <c r="F17" i="5"/>
  <c r="K97" i="5"/>
  <c r="L100" i="5"/>
  <c r="L35" i="5"/>
  <c r="L19" i="5"/>
  <c r="J16" i="5"/>
  <c r="J54" i="5"/>
  <c r="K66" i="5"/>
  <c r="I80" i="5"/>
  <c r="I2" i="5"/>
  <c r="L16" i="5"/>
  <c r="L43" i="5"/>
  <c r="J86" i="5"/>
  <c r="K69" i="5"/>
  <c r="I54" i="5"/>
  <c r="L93" i="5"/>
  <c r="K90" i="5"/>
  <c r="K46" i="5"/>
  <c r="K85" i="5"/>
  <c r="I52" i="5"/>
  <c r="I32" i="5"/>
  <c r="I100" i="5"/>
  <c r="F51" i="5"/>
  <c r="J99" i="5"/>
  <c r="L14" i="5"/>
  <c r="L92" i="5"/>
  <c r="F25" i="5"/>
  <c r="L94" i="5"/>
  <c r="F92" i="5"/>
  <c r="K78" i="5"/>
  <c r="I28" i="5"/>
  <c r="F15" i="5"/>
  <c r="J71" i="5"/>
  <c r="I42" i="5"/>
  <c r="K31" i="5"/>
  <c r="I40" i="5"/>
  <c r="K51" i="5"/>
  <c r="I26" i="5"/>
  <c r="S195" i="1" l="1" a="1"/>
  <c r="S195" i="1" s="1"/>
  <c r="S193" i="4"/>
  <c r="T193" i="4" s="1" a="1"/>
  <c r="T193" i="4" s="1"/>
  <c r="R195" i="1" a="1"/>
  <c r="R195" i="1" s="1"/>
  <c r="F80" i="5"/>
  <c r="F33" i="5"/>
  <c r="F32" i="5"/>
  <c r="F14" i="5"/>
  <c r="F56" i="5"/>
  <c r="I69" i="5"/>
  <c r="I53" i="5"/>
  <c r="I6" i="5"/>
  <c r="F78" i="5"/>
  <c r="I41" i="5"/>
  <c r="F85" i="5"/>
  <c r="F27" i="5"/>
  <c r="F13" i="5"/>
  <c r="F72" i="5"/>
  <c r="F100" i="5"/>
  <c r="I22" i="5"/>
  <c r="F4" i="5"/>
  <c r="F91" i="5"/>
  <c r="F8" i="5"/>
  <c r="I18" i="5"/>
  <c r="F71" i="5"/>
  <c r="F68" i="5"/>
  <c r="F84" i="5"/>
  <c r="I64" i="5"/>
  <c r="I82" i="5"/>
  <c r="F55" i="5"/>
  <c r="I89" i="5"/>
  <c r="F30" i="5"/>
  <c r="F46" i="5"/>
  <c r="F29" i="5"/>
  <c r="I91" i="5"/>
  <c r="F57" i="5"/>
  <c r="F44" i="5"/>
  <c r="F82" i="5"/>
  <c r="I95" i="5"/>
  <c r="F20" i="5"/>
  <c r="F45" i="5"/>
  <c r="F60" i="5"/>
  <c r="F94" i="5"/>
  <c r="F67" i="5"/>
  <c r="I98" i="5"/>
  <c r="F54" i="5"/>
  <c r="F96" i="5"/>
  <c r="F10" i="5"/>
  <c r="I45" i="5"/>
  <c r="F81" i="5"/>
  <c r="I70" i="5"/>
  <c r="F65" i="5"/>
  <c r="F76" i="5"/>
  <c r="I88" i="5"/>
  <c r="F37" i="5"/>
  <c r="I36" i="5"/>
  <c r="I93" i="5"/>
  <c r="F86" i="5"/>
  <c r="I8" i="5"/>
  <c r="I56" i="5"/>
  <c r="I96" i="5"/>
  <c r="F23" i="5"/>
  <c r="F53" i="5"/>
  <c r="F19" i="5"/>
  <c r="F52" i="5"/>
  <c r="F74" i="5"/>
  <c r="F75" i="5"/>
  <c r="I27" i="5"/>
  <c r="F48" i="5"/>
  <c r="F6" i="5"/>
  <c r="I90" i="5"/>
  <c r="I11" i="5"/>
  <c r="I3" i="5"/>
  <c r="F77" i="5"/>
  <c r="I38" i="5"/>
  <c r="F50" i="5"/>
  <c r="I46" i="5"/>
  <c r="F63" i="5"/>
  <c r="I43" i="5"/>
  <c r="F35" i="5"/>
  <c r="F66" i="5"/>
  <c r="I92" i="5"/>
  <c r="F18" i="5"/>
  <c r="I65" i="5"/>
  <c r="F87" i="5"/>
  <c r="F28" i="5"/>
  <c r="F47" i="5"/>
  <c r="F9" i="5"/>
  <c r="I24" i="5"/>
  <c r="F43" i="5"/>
  <c r="I74" i="5"/>
  <c r="F34" i="5"/>
  <c r="F38" i="5"/>
  <c r="I71" i="5"/>
  <c r="I20" i="5"/>
  <c r="F2" i="5"/>
  <c r="I4" i="5"/>
  <c r="I60" i="5"/>
  <c r="F73" i="5"/>
  <c r="F22" i="5"/>
  <c r="F64" i="5"/>
  <c r="F69" i="5"/>
  <c r="I99" i="5"/>
  <c r="F36" i="5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" i="5"/>
  <c r="H55" i="5"/>
  <c r="H86" i="5"/>
  <c r="H43" i="5"/>
  <c r="H27" i="5"/>
  <c r="H89" i="5"/>
  <c r="H67" i="5"/>
  <c r="H16" i="5"/>
  <c r="H26" i="5"/>
  <c r="H40" i="5"/>
  <c r="H95" i="5"/>
  <c r="H75" i="5"/>
  <c r="H101" i="5"/>
  <c r="H80" i="5"/>
  <c r="H88" i="5"/>
  <c r="H19" i="5"/>
  <c r="H20" i="5"/>
  <c r="H64" i="5"/>
  <c r="H79" i="5"/>
  <c r="H91" i="5"/>
  <c r="H73" i="5"/>
  <c r="H97" i="5"/>
  <c r="H76" i="5"/>
  <c r="H63" i="5"/>
  <c r="H36" i="5"/>
  <c r="H93" i="5"/>
  <c r="H11" i="5"/>
  <c r="H5" i="5"/>
  <c r="H57" i="5"/>
  <c r="H72" i="5"/>
  <c r="H44" i="5"/>
  <c r="H46" i="5"/>
  <c r="H94" i="5"/>
  <c r="H45" i="5"/>
  <c r="H35" i="5"/>
  <c r="H85" i="5"/>
  <c r="H24" i="5"/>
  <c r="H29" i="5"/>
  <c r="H12" i="5"/>
  <c r="H69" i="5"/>
  <c r="H47" i="5"/>
  <c r="H82" i="5"/>
  <c r="H56" i="5"/>
  <c r="H38" i="5"/>
  <c r="H9" i="5"/>
  <c r="H71" i="5"/>
  <c r="H49" i="5"/>
  <c r="H77" i="5"/>
  <c r="H28" i="5"/>
  <c r="H8" i="5"/>
  <c r="H22" i="5"/>
  <c r="H25" i="5"/>
  <c r="H65" i="5"/>
  <c r="H87" i="5"/>
  <c r="H39" i="5"/>
  <c r="H100" i="5"/>
  <c r="H13" i="5"/>
  <c r="H50" i="5"/>
  <c r="H96" i="5"/>
  <c r="H83" i="5"/>
  <c r="H17" i="5"/>
  <c r="H84" i="5"/>
  <c r="H7" i="5"/>
  <c r="H30" i="5"/>
  <c r="H3" i="5"/>
  <c r="H99" i="5"/>
  <c r="H52" i="5"/>
  <c r="H18" i="5"/>
  <c r="H68" i="5"/>
  <c r="H6" i="5"/>
  <c r="H21" i="5"/>
  <c r="H78" i="5"/>
  <c r="H51" i="5"/>
  <c r="H62" i="5"/>
  <c r="H66" i="5"/>
  <c r="H4" i="5"/>
  <c r="H14" i="5"/>
  <c r="H15" i="5"/>
  <c r="H58" i="5"/>
  <c r="H23" i="5"/>
  <c r="H10" i="5"/>
  <c r="H59" i="5"/>
  <c r="H48" i="5"/>
  <c r="H41" i="5"/>
  <c r="H31" i="5"/>
  <c r="H74" i="5"/>
  <c r="H34" i="5"/>
  <c r="H60" i="5"/>
  <c r="H81" i="5"/>
  <c r="H92" i="5"/>
  <c r="H98" i="5"/>
  <c r="H54" i="5"/>
  <c r="H32" i="5"/>
  <c r="H37" i="5"/>
  <c r="H70" i="5"/>
  <c r="H90" i="5"/>
  <c r="H42" i="5"/>
  <c r="H61" i="5"/>
  <c r="H53" i="5"/>
  <c r="H33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6" i="2" s="1" a="1"/>
  <c r="K86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2" i="2" s="1" a="1"/>
  <c r="K62" i="2" s="1"/>
  <c r="O2" i="5"/>
  <c r="P2" i="5" s="1" a="1"/>
  <c r="P2" i="5" s="1"/>
  <c r="K2" i="2" s="1" a="1"/>
  <c r="K2" i="2" s="1"/>
  <c r="O76" i="5"/>
  <c r="P76" i="5" s="1" a="1"/>
  <c r="P76" i="5" s="1"/>
  <c r="K77" i="2" s="1" a="1"/>
  <c r="K77" i="2" s="1"/>
  <c r="O86" i="5"/>
  <c r="P86" i="5" s="1" a="1"/>
  <c r="P86" i="5" s="1"/>
  <c r="K87" i="2" s="1" a="1"/>
  <c r="K87" i="2" s="1"/>
  <c r="O74" i="5"/>
  <c r="P74" i="5" s="1" a="1"/>
  <c r="P74" i="5" s="1"/>
  <c r="K75" i="2" s="1" a="1"/>
  <c r="K75" i="2" s="1"/>
  <c r="O89" i="5"/>
  <c r="P89" i="5" s="1" a="1"/>
  <c r="P89" i="5" s="1"/>
  <c r="K90" i="2" s="1" a="1"/>
  <c r="K90" i="2" s="1"/>
  <c r="O101" i="5"/>
  <c r="P101" i="5" s="1" a="1"/>
  <c r="P101" i="5" s="1"/>
  <c r="K102" i="2" s="1" a="1"/>
  <c r="K102" i="2" s="1"/>
  <c r="O97" i="5"/>
  <c r="P97" i="5" s="1" a="1"/>
  <c r="P97" i="5" s="1"/>
  <c r="K98" i="2" s="1" a="1"/>
  <c r="K98" i="2" s="1"/>
  <c r="O5" i="5"/>
  <c r="P5" i="5" s="1" a="1"/>
  <c r="P5" i="5" s="1"/>
  <c r="K5" i="2" s="1" a="1"/>
  <c r="K5" i="2" s="1"/>
  <c r="O46" i="5"/>
  <c r="P46" i="5" s="1" a="1"/>
  <c r="P46" i="5" s="1"/>
  <c r="O84" i="5"/>
  <c r="P84" i="5" s="1" a="1"/>
  <c r="P84" i="5" s="1"/>
  <c r="K85" i="2" s="1" a="1"/>
  <c r="K85" i="2" s="1"/>
  <c r="O65" i="5"/>
  <c r="P65" i="5" s="1" a="1"/>
  <c r="P65" i="5" s="1"/>
  <c r="K66" i="2" s="1" a="1"/>
  <c r="K66" i="2" s="1"/>
  <c r="O47" i="5"/>
  <c r="P47" i="5" s="1" a="1"/>
  <c r="P47" i="5" s="1"/>
  <c r="K48" i="2" s="1" a="1"/>
  <c r="K48" i="2" s="1"/>
  <c r="O98" i="5"/>
  <c r="P98" i="5" s="1" a="1"/>
  <c r="P98" i="5" s="1"/>
  <c r="K99" i="2" s="1" a="1"/>
  <c r="K99" i="2" s="1"/>
  <c r="O72" i="5"/>
  <c r="P72" i="5" s="1" a="1"/>
  <c r="P72" i="5" s="1"/>
  <c r="K73" i="2" s="1" a="1"/>
  <c r="K73" i="2" s="1"/>
  <c r="O6" i="5"/>
  <c r="P6" i="5" s="1" a="1"/>
  <c r="P6" i="5" s="1"/>
  <c r="K6" i="2" s="1" a="1"/>
  <c r="K6" i="2" s="1"/>
  <c r="O88" i="5"/>
  <c r="P88" i="5" s="1" a="1"/>
  <c r="P88" i="5" s="1"/>
  <c r="K89" i="2" s="1" a="1"/>
  <c r="K89" i="2" s="1"/>
  <c r="O9" i="5"/>
  <c r="P9" i="5" s="1" a="1"/>
  <c r="P9" i="5" s="1"/>
  <c r="K9" i="2" s="1" a="1"/>
  <c r="K9" i="2" s="1"/>
  <c r="O56" i="5"/>
  <c r="P56" i="5" s="1" a="1"/>
  <c r="P56" i="5" s="1"/>
  <c r="K57" i="2" s="1" a="1"/>
  <c r="K57" i="2" s="1"/>
  <c r="O48" i="5"/>
  <c r="P48" i="5" s="1" a="1"/>
  <c r="P48" i="5" s="1"/>
  <c r="K49" i="2" s="1" a="1"/>
  <c r="K49" i="2" s="1"/>
  <c r="O43" i="5"/>
  <c r="P43" i="5" s="1" a="1"/>
  <c r="P43" i="5" s="1"/>
  <c r="K43" i="2" s="1" a="1"/>
  <c r="K43" i="2" s="1"/>
  <c r="O59" i="5"/>
  <c r="P59" i="5" s="1" a="1"/>
  <c r="P59" i="5" s="1"/>
  <c r="K60" i="2" s="1" a="1"/>
  <c r="K60" i="2" s="1"/>
  <c r="O53" i="5"/>
  <c r="P53" i="5" s="1" a="1"/>
  <c r="P53" i="5" s="1"/>
  <c r="K54" i="2" s="1" a="1"/>
  <c r="K54" i="2" s="1"/>
  <c r="O99" i="5"/>
  <c r="P99" i="5" s="1" a="1"/>
  <c r="P99" i="5" s="1"/>
  <c r="K100" i="2" s="1" a="1"/>
  <c r="K100" i="2" s="1"/>
  <c r="O96" i="5"/>
  <c r="P96" i="5" s="1" a="1"/>
  <c r="P96" i="5" s="1"/>
  <c r="K97" i="2" s="1" a="1"/>
  <c r="K97" i="2" s="1"/>
  <c r="O83" i="5"/>
  <c r="P83" i="5" s="1" a="1"/>
  <c r="P83" i="5" s="1"/>
  <c r="K84" i="2" s="1" a="1"/>
  <c r="K84" i="2" s="1"/>
  <c r="O82" i="5"/>
  <c r="P82" i="5" s="1" a="1"/>
  <c r="P82" i="5" s="1"/>
  <c r="K83" i="2" s="1" a="1"/>
  <c r="K83" i="2" s="1"/>
  <c r="O62" i="5"/>
  <c r="P62" i="5" s="1" a="1"/>
  <c r="P62" i="5" s="1"/>
  <c r="K63" i="2" s="1" a="1"/>
  <c r="K63" i="2" s="1"/>
  <c r="O67" i="5"/>
  <c r="P67" i="5" s="1" a="1"/>
  <c r="P67" i="5" s="1"/>
  <c r="K68" i="2" s="1" a="1"/>
  <c r="K68" i="2" s="1"/>
  <c r="O17" i="5"/>
  <c r="P17" i="5" s="1" a="1"/>
  <c r="P17" i="5" s="1"/>
  <c r="K17" i="2" s="1" a="1"/>
  <c r="K17" i="2" s="1"/>
  <c r="O92" i="5"/>
  <c r="P92" i="5" s="1" a="1"/>
  <c r="P92" i="5" s="1"/>
  <c r="K93" i="2" s="1" a="1"/>
  <c r="K93" i="2" s="1"/>
  <c r="O77" i="5"/>
  <c r="P77" i="5" s="1" a="1"/>
  <c r="P77" i="5" s="1"/>
  <c r="K78" i="2" s="1" a="1"/>
  <c r="K78" i="2" s="1"/>
  <c r="O50" i="5"/>
  <c r="P50" i="5" s="1" a="1"/>
  <c r="P50" i="5" s="1"/>
  <c r="K51" i="2" s="1" a="1"/>
  <c r="K51" i="2" s="1"/>
  <c r="O7" i="5"/>
  <c r="P7" i="5" s="1" a="1"/>
  <c r="P7" i="5" s="1"/>
  <c r="K7" i="2" s="1" a="1"/>
  <c r="K7" i="2" s="1"/>
  <c r="O66" i="5"/>
  <c r="P66" i="5" s="1" a="1"/>
  <c r="P66" i="5" s="1"/>
  <c r="K67" i="2" s="1" a="1"/>
  <c r="K67" i="2" s="1"/>
  <c r="O91" i="5"/>
  <c r="P91" i="5" s="1" a="1"/>
  <c r="P91" i="5" s="1"/>
  <c r="K92" i="2" s="1" a="1"/>
  <c r="K92" i="2" s="1"/>
  <c r="O55" i="5"/>
  <c r="P55" i="5" s="1" a="1"/>
  <c r="P55" i="5" s="1"/>
  <c r="K56" i="2" s="1" a="1"/>
  <c r="K56" i="2" s="1"/>
  <c r="O42" i="5"/>
  <c r="P42" i="5" s="1" a="1"/>
  <c r="P42" i="5" s="1"/>
  <c r="K42" i="2" s="1" a="1"/>
  <c r="K42" i="2" s="1"/>
  <c r="O93" i="5"/>
  <c r="P93" i="5" s="1" a="1"/>
  <c r="P93" i="5" s="1"/>
  <c r="K94" i="2" s="1" a="1"/>
  <c r="K94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3" i="2" s="1" a="1"/>
  <c r="K53" i="2" s="1"/>
  <c r="O13" i="5"/>
  <c r="P13" i="5" s="1" a="1"/>
  <c r="P13" i="5" s="1"/>
  <c r="K13" i="2" s="1" a="1"/>
  <c r="K13" i="2" s="1"/>
  <c r="O78" i="5"/>
  <c r="P78" i="5" s="1" a="1"/>
  <c r="P78" i="5" s="1"/>
  <c r="K79" i="2" s="1" a="1"/>
  <c r="K79" i="2" s="1"/>
  <c r="O3" i="5"/>
  <c r="P3" i="5" s="1" a="1"/>
  <c r="P3" i="5" s="1"/>
  <c r="K3" i="2" s="1" a="1"/>
  <c r="K3" i="2" s="1"/>
  <c r="O73" i="5"/>
  <c r="P73" i="5" s="1" a="1"/>
  <c r="P73" i="5" s="1"/>
  <c r="K74" i="2" s="1" a="1"/>
  <c r="K74" i="2" s="1"/>
  <c r="O70" i="5"/>
  <c r="P70" i="5" s="1" a="1"/>
  <c r="P70" i="5" s="1"/>
  <c r="K71" i="2" s="1" a="1"/>
  <c r="K71" i="2" s="1"/>
  <c r="O80" i="5"/>
  <c r="P80" i="5" s="1" a="1"/>
  <c r="P80" i="5" s="1"/>
  <c r="K81" i="2" s="1" a="1"/>
  <c r="K81" i="2" s="1"/>
  <c r="O94" i="5"/>
  <c r="P94" i="5" s="1" a="1"/>
  <c r="P94" i="5" s="1"/>
  <c r="K95" i="2" s="1" a="1"/>
  <c r="K95" i="2" s="1"/>
  <c r="O49" i="5"/>
  <c r="P49" i="5" s="1" a="1"/>
  <c r="P49" i="5" s="1"/>
  <c r="K50" i="2" s="1" a="1"/>
  <c r="K50" i="2" s="1"/>
  <c r="O87" i="5"/>
  <c r="P87" i="5" s="1" a="1"/>
  <c r="P87" i="5" s="1"/>
  <c r="K88" i="2" s="1" a="1"/>
  <c r="K88" i="2" s="1"/>
  <c r="O81" i="5"/>
  <c r="P81" i="5" s="1" a="1"/>
  <c r="P81" i="5" s="1"/>
  <c r="K82" i="2" s="1" a="1"/>
  <c r="K82" i="2" s="1"/>
  <c r="O79" i="5"/>
  <c r="P79" i="5" s="1" a="1"/>
  <c r="P79" i="5" s="1"/>
  <c r="K80" i="2" s="1" a="1"/>
  <c r="K80" i="2" s="1"/>
  <c r="O54" i="5"/>
  <c r="P54" i="5" s="1" a="1"/>
  <c r="P54" i="5" s="1"/>
  <c r="K55" i="2" s="1" a="1"/>
  <c r="K55" i="2" s="1"/>
  <c r="O8" i="5"/>
  <c r="P8" i="5" s="1" a="1"/>
  <c r="P8" i="5" s="1"/>
  <c r="K8" i="2" s="1" a="1"/>
  <c r="K8" i="2" s="1"/>
  <c r="O68" i="5"/>
  <c r="P68" i="5" s="1" a="1"/>
  <c r="P68" i="5" s="1"/>
  <c r="K69" i="2" s="1" a="1"/>
  <c r="K69" i="2" s="1"/>
  <c r="O57" i="5"/>
  <c r="P57" i="5" s="1" a="1"/>
  <c r="P57" i="5" s="1"/>
  <c r="K58" i="2" s="1" a="1"/>
  <c r="K58" i="2" s="1"/>
  <c r="O11" i="5"/>
  <c r="P11" i="5" s="1" a="1"/>
  <c r="P11" i="5" s="1"/>
  <c r="K11" i="2" s="1" a="1"/>
  <c r="K11" i="2" s="1"/>
  <c r="O60" i="5"/>
  <c r="P60" i="5" s="1" a="1"/>
  <c r="P60" i="5" s="1"/>
  <c r="K61" i="2" s="1" a="1"/>
  <c r="K61" i="2" s="1"/>
  <c r="O69" i="5"/>
  <c r="P69" i="5" s="1" a="1"/>
  <c r="P69" i="5" s="1"/>
  <c r="K70" i="2" s="1" a="1"/>
  <c r="K70" i="2" s="1"/>
  <c r="O64" i="5"/>
  <c r="P64" i="5" s="1" a="1"/>
  <c r="P64" i="5" s="1"/>
  <c r="K65" i="2" s="1" a="1"/>
  <c r="K65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2" i="2" s="1" a="1"/>
  <c r="K52" i="2" s="1"/>
  <c r="O100" i="5"/>
  <c r="P100" i="5" s="1" a="1"/>
  <c r="P100" i="5" s="1"/>
  <c r="K101" i="2" s="1" a="1"/>
  <c r="K101" i="2" s="1"/>
  <c r="O90" i="5"/>
  <c r="P90" i="5" s="1" a="1"/>
  <c r="P90" i="5" s="1"/>
  <c r="K91" i="2" s="1" a="1"/>
  <c r="K91" i="2" s="1"/>
  <c r="O75" i="5"/>
  <c r="P75" i="5" s="1" a="1"/>
  <c r="P75" i="5" s="1"/>
  <c r="K76" i="2" s="1" a="1"/>
  <c r="K76" i="2" s="1"/>
  <c r="O16" i="5"/>
  <c r="P16" i="5" s="1" a="1"/>
  <c r="P16" i="5" s="1"/>
  <c r="K16" i="2" s="1" a="1"/>
  <c r="K16" i="2" s="1"/>
  <c r="O63" i="5"/>
  <c r="P63" i="5" s="1" a="1"/>
  <c r="P63" i="5" s="1"/>
  <c r="K64" i="2" s="1" a="1"/>
  <c r="K64" i="2" s="1"/>
  <c r="O58" i="5"/>
  <c r="P58" i="5" s="1" a="1"/>
  <c r="P58" i="5" s="1"/>
  <c r="K59" i="2" s="1" a="1"/>
  <c r="K59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O95" i="5"/>
  <c r="P95" i="5" s="1" a="1"/>
  <c r="P95" i="5" s="1"/>
  <c r="K96" i="2" s="1" a="1"/>
  <c r="K96" i="2" s="1"/>
  <c r="O71" i="5"/>
  <c r="P71" i="5" s="1" a="1"/>
  <c r="P71" i="5" s="1"/>
  <c r="K72" i="2" s="1" a="1"/>
  <c r="K72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  <c r="K47" i="2" l="1" a="1"/>
  <c r="K47" i="2" s="1"/>
  <c r="K46" i="2" a="1"/>
  <c r="K4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<sst xmlns="http://schemas.openxmlformats.org/spreadsheetml/2006/main" count="592" uniqueCount="342">
  <si>
    <t>^</t>
  </si>
  <si>
    <t>KANBAN</t>
  </si>
  <si>
    <t>COMPLETADO</t>
  </si>
  <si>
    <t>NORMAL</t>
  </si>
  <si>
    <t>Introduccion</t>
  </si>
  <si>
    <t>Desarrollo de la introducción del PP</t>
  </si>
  <si>
    <t>Luis Calle</t>
  </si>
  <si>
    <t>IMPORTANTE</t>
  </si>
  <si>
    <t>Planteamiento del Problema</t>
  </si>
  <si>
    <t>Plantear el problema de nuestro proyecto</t>
  </si>
  <si>
    <t>Paulina Quishpe</t>
  </si>
  <si>
    <t>Objetivos</t>
  </si>
  <si>
    <t>Plantear los objetivos a cumplir</t>
  </si>
  <si>
    <t>Alcance</t>
  </si>
  <si>
    <t>Redactar el alcance de proyecto</t>
  </si>
  <si>
    <t>Elaboracion Marco teórico</t>
  </si>
  <si>
    <t>Desarrollo del marco que abarca teoría</t>
  </si>
  <si>
    <t>Kevin Andino</t>
  </si>
  <si>
    <t>URGENTE</t>
  </si>
  <si>
    <t>Elaboracion Preguntas de Entrevista</t>
  </si>
  <si>
    <t>Plantear preguntas para la entrevista</t>
  </si>
  <si>
    <t>Entrevista a cliente</t>
  </si>
  <si>
    <t>Realizar una pequeña entrevista al 
 clienta</t>
  </si>
  <si>
    <t>Elaborar matriz MTZ (5w+2h)</t>
  </si>
  <si>
    <t>Elaboración matriz MTZ (5w+2h)</t>
  </si>
  <si>
    <t>Madellyn Tasipanta</t>
  </si>
  <si>
    <t>Elaboracion de Historia de Usuario</t>
  </si>
  <si>
    <t>Realizar las Historias de usuario</t>
  </si>
  <si>
    <t>Elaboracion de Ideas a defender y resultados esperados</t>
  </si>
  <si>
    <t>Planteamiento de ideas</t>
  </si>
  <si>
    <t xml:space="preserve">Elaboracion de Viabilidad, Humana todos los apartados </t>
  </si>
  <si>
    <t>Evaluar la viabilidad del proyecto</t>
  </si>
  <si>
    <t>Elaboracion de apartado de tecnología</t>
  </si>
  <si>
    <t>Revisión de material a utilizar</t>
  </si>
  <si>
    <t>Revisión final de Perfil de Proyecto</t>
  </si>
  <si>
    <t>Verificar que esten correctos los apar_ 
tados del perfil de proyecto</t>
  </si>
  <si>
    <t>Defensa del Perfil de Proyecto</t>
  </si>
  <si>
    <t>Presentar las ideas planteadas</t>
  </si>
  <si>
    <t>Revisión del Perfil de Proyecto, Cronograma Marco de trabajo ágil SCRUM, MTZ de Marco de trabajo de Historia de Usuario</t>
  </si>
  <si>
    <t>Revisión por parte de la ingeniera guía del proyecto</t>
  </si>
  <si>
    <t>Ing. Jenny Ruiz</t>
  </si>
  <si>
    <t>Revisión de MTZ de Historias de Usuarios (HU) y Documento de descripción de HU</t>
  </si>
  <si>
    <t>Revisión de MTZ HU de proyecto real, Video con la entrevista, Defensa.</t>
  </si>
  <si>
    <t>REQ001 Ingreso y autenticacion del administrador</t>
  </si>
  <si>
    <t xml:space="preserve">Validar credenciales de administrador </t>
  </si>
  <si>
    <t>REQ001-1 Crear una interfaz que permita al administrador ingresar sus datos</t>
  </si>
  <si>
    <t>Maqueteo interfaz del aplicativo</t>
  </si>
  <si>
    <t>REQ001-2 Almacenamiento de inicio de sesión en base de datos.</t>
  </si>
  <si>
    <t>Almacenar las credenciales en una base de datos</t>
  </si>
  <si>
    <t>REQ001-3 Validación de inicio de sesión en la base de datos</t>
  </si>
  <si>
    <t>Seguridad y bloqueo del programa</t>
  </si>
  <si>
    <t>REQ002 Revision del perfil de Usuario</t>
  </si>
  <si>
    <t>Permitir al usuario ver su información</t>
  </si>
  <si>
    <t>REQ002-1  Infraestructura y Almacenamiento</t>
  </si>
  <si>
    <t xml:space="preserve">Almacenamiento de datos </t>
  </si>
  <si>
    <t>REQ002-2 Interfaz de Usuario (Módulo de Administración)</t>
  </si>
  <si>
    <t>Diseñar interfaz grafica para la edicion de datos</t>
  </si>
  <si>
    <t>REQ002-3 Procesamiento y Estandarización</t>
  </si>
  <si>
    <t>Procesamiento y edicion de datos</t>
  </si>
  <si>
    <t xml:space="preserve">Revisión de Backlog Sprint0 </t>
  </si>
  <si>
    <t>REQ003 Ingresar datos del contratos</t>
  </si>
  <si>
    <t>Fideicomiso Mercanti, Encargo Fiduciario</t>
  </si>
  <si>
    <t>REQ003-1 Visualización de las 5 plantillas y sus tipos principales.</t>
  </si>
  <si>
    <t>Planitllas para los contratos</t>
  </si>
  <si>
    <t>REQ003-2 Implementación del conjunto de campos obligatorios esenciales.</t>
  </si>
  <si>
    <t>Plantilla de contrato general</t>
  </si>
  <si>
    <t>REQ003-3 Que el administrador pueda seleccionar el tipo de contrato.</t>
  </si>
  <si>
    <t>Formularios editables para contratos</t>
  </si>
  <si>
    <t>Arreglo de Bugs</t>
  </si>
  <si>
    <t>Arreglar errores del proyecto</t>
  </si>
  <si>
    <t>Reunion de retroalimentacion con Product Owner</t>
  </si>
  <si>
    <t>Aplicar sugerencias del Product Owner</t>
  </si>
  <si>
    <t>Testeo REQ001, REQ002, REQ003</t>
  </si>
  <si>
    <t xml:space="preserve">Prueba de REQ funcionales </t>
  </si>
  <si>
    <t>Refinamiento de backlog</t>
  </si>
  <si>
    <t>Revisión de actas de reunión</t>
  </si>
  <si>
    <t>REQ004 Búsqueda de Contratos</t>
  </si>
  <si>
    <t>Búsqueda de contratos registrados de fidecomisos</t>
  </si>
  <si>
    <t>Desarrollar la lógica de backend para filtrar y mostrar los contratos de fideicomisos que coincidan con los datos ingresados.</t>
  </si>
  <si>
    <t>REQ005 Modificación de contratos.</t>
  </si>
  <si>
    <t>Editar contratos registrados con control de versiones</t>
  </si>
  <si>
    <t>Desarrollar sistema de control de versiones que guarde automáticamente cada modificación con fecha, hora y usuario.</t>
  </si>
  <si>
    <t>Implementar gestión de permisos: solo la administradora pueden autorizar acceso de edición.</t>
  </si>
  <si>
    <t>Desarrollar historial de versiones visible con opción de ver versiones anteriores del contrato</t>
  </si>
  <si>
    <t>Tarea 44</t>
  </si>
  <si>
    <t>REQ005-2 Diseñar e implementar la barra de búsqueda con campos: para Laboral cédula y para Civil RUC.</t>
  </si>
  <si>
    <t>Barra de búsqueda según tipo</t>
  </si>
  <si>
    <t>REQ005-3 Desarrollar la lógica de backend para filtrar y mostrar los contratos que coincidan con los datos ingresados.</t>
  </si>
  <si>
    <t>Desarrollo de lógica backend</t>
  </si>
  <si>
    <t>Revisión de VIDEO DE ENTREVISTA 1, VIDEO MAQUETADO, VIDEO PRESENTACION</t>
  </si>
  <si>
    <t>Revisión de Backlog Sprint0, Sprint1</t>
  </si>
  <si>
    <t>Retroalimentación con Product owner</t>
  </si>
  <si>
    <t>Sugerenicas del Product Owner</t>
  </si>
  <si>
    <t>Revisión de caja negra y caja blanca Sprint0, Sprint1</t>
  </si>
  <si>
    <t>Presentación de proyectos con funcionalidad SPRINT1,2,3...</t>
  </si>
  <si>
    <t>Revisión de presentación de proyectos con funcionalidad SPRINT1,2,3...</t>
  </si>
  <si>
    <t>Revisión archivo Kanban de los sprint0, sprint1, sprint2</t>
  </si>
  <si>
    <t>REQ006 Eliminación de Contratos</t>
  </si>
  <si>
    <t>Editar y eliminar contratos registrados</t>
  </si>
  <si>
    <t>REQ006-1Permitir seleccionar un contrato desde la interfaz.</t>
  </si>
  <si>
    <t>Implementar boton de seleccion a un contrato.</t>
  </si>
  <si>
    <t>REQ006-2 Mostrar mensaje de confirmación antes de eliminar.</t>
  </si>
  <si>
    <t>Mensaje de contrato eliminado.</t>
  </si>
  <si>
    <t>REQ006-3 Verificar que el contrato exista y pueda ser eliminado.</t>
  </si>
  <si>
    <t>Verificar en el menu de todos los contratos.</t>
  </si>
  <si>
    <t>POR HACER</t>
  </si>
  <si>
    <t>Defensa de proyecto final</t>
  </si>
  <si>
    <t>Presentación final Proyecto</t>
  </si>
  <si>
    <t>Revisión defensa de proyecto final</t>
  </si>
  <si>
    <t>Últimos retoques y correcciones del proyecto</t>
  </si>
  <si>
    <t>EN PROGRESO</t>
  </si>
  <si>
    <t xml:space="preserve">REQ007 Guardar Contratos </t>
  </si>
  <si>
    <t>Guardar contratos dentro del sistema</t>
  </si>
  <si>
    <t>REQ007-1 Revisar que todos los campos requeridos estén completos.</t>
  </si>
  <si>
    <t>REQ007-2 Comprobar que el contrato no exista previamente.</t>
  </si>
  <si>
    <t>REQ007-3 Registrar el contrato con sus datos esenciales.</t>
  </si>
  <si>
    <t>REQ007-4 Notificar éxito o error al usuario.</t>
  </si>
  <si>
    <t>REQ008 Exportar Contratos</t>
  </si>
  <si>
    <t>REQ008-1 Obtener y Modelar Datos</t>
  </si>
  <si>
    <t>REQ008-2 Integrar Librería de Generación de PDF</t>
  </si>
  <si>
    <t>REQ008-3 Integrar Librería de Generación de Excel</t>
  </si>
  <si>
    <t>REQ008-4 Crear el Endpoint de Exportación (Backend)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</si>
  <si>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</si>
  <si>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</si>
  <si>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</si>
  <si>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</si>
  <si>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</si>
  <si>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</si>
  <si>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</si>
  <si>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</si>
  <si>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</si>
  <si>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</si>
  <si>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</si>
  <si>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</si>
  <si>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</si>
  <si>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</si>
  <si>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</si>
  <si>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</si>
  <si>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</si>
  <si>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</si>
  <si>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</si>
  <si>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</si>
  <si>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</si>
  <si>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</si>
  <si>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</si>
  <si>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</si>
  <si>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</si>
  <si>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</si>
  <si>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</si>
  <si>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</si>
  <si>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</si>
  <si>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</si>
  <si>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</si>
  <si>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</si>
  <si>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</si>
  <si>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</si>
  <si>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</si>
  <si>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</si>
  <si>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</si>
  <si>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</si>
  <si>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</si>
  <si>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</si>
  <si>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</si>
  <si>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</si>
  <si>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</si>
  <si>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</si>
  <si>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</si>
  <si>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</si>
  <si>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</si>
  <si>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</si>
  <si>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</si>
  <si>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</si>
  <si>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</si>
  <si>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</si>
  <si>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</si>
  <si>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</si>
  <si>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</si>
  <si>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</si>
  <si>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</si>
  <si>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</si>
  <si>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</si>
  <si>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</si>
  <si>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</si>
  <si>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</si>
  <si>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</si>
  <si>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</si>
  <si>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</si>
  <si>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</si>
  <si>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</si>
  <si>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</si>
  <si>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</si>
  <si>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</si>
  <si>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</si>
  <si>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</si>
  <si>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</si>
  <si>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</si>
  <si>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</si>
  <si>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</si>
  <si>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</si>
  <si>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</si>
  <si>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</si>
  <si>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</si>
  <si>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</si>
  <si>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</si>
  <si>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</si>
  <si>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</si>
  <si>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</si>
  <si>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</si>
  <si>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</si>
  <si>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</si>
  <si>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</si>
  <si>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</si>
  <si>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</si>
  <si>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</si>
  <si>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</si>
  <si>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</si>
  <si>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</si>
  <si>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</si>
  <si>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</si>
  <si>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</si>
  <si>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</si>
  <si>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</si>
  <si>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</si>
  <si>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</si>
  <si>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</si>
  <si>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</si>
  <si>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</si>
  <si>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</si>
  <si>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</si>
  <si>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</si>
  <si>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</si>
  <si>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</si>
  <si>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</si>
  <si>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</si>
  <si>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</si>
  <si>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</si>
  <si>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</si>
  <si>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</si>
  <si>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</si>
  <si>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</si>
  <si>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</si>
  <si>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</si>
  <si>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</si>
  <si>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</si>
  <si>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</si>
  <si>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</si>
  <si>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</si>
  <si>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</si>
  <si>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</si>
  <si>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</si>
  <si>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</si>
  <si>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</si>
  <si>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</si>
  <si>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</si>
  <si>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</si>
  <si>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</si>
  <si>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</si>
  <si>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</si>
  <si>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</si>
  <si>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</si>
  <si>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</si>
  <si>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</si>
  <si>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</si>
  <si>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</si>
  <si>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</si>
  <si>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</si>
  <si>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</si>
  <si>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</si>
  <si>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</si>
  <si>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</si>
  <si>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</si>
  <si>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</si>
  <si>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</si>
  <si>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</si>
  <si>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</si>
  <si>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</si>
  <si>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</si>
  <si>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</si>
  <si>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</si>
  <si>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</si>
  <si>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</si>
  <si>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</si>
  <si>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</si>
  <si>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</si>
  <si>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</si>
  <si>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</si>
  <si>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</si>
  <si>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</si>
  <si>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</si>
  <si>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</si>
  <si>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</si>
  <si>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</si>
  <si>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</si>
  <si>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</si>
  <si>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</si>
  <si>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</si>
  <si>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</si>
  <si>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</si>
  <si>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</si>
  <si>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</si>
  <si>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</si>
  <si>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</si>
  <si>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</si>
  <si>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</si>
  <si>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</si>
  <si>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</si>
  <si>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</si>
  <si>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</si>
  <si>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</si>
  <si>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</si>
  <si>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</si>
  <si>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</si>
  <si>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</si>
  <si>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</si>
  <si>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</si>
  <si>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</si>
  <si>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</si>
  <si>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</si>
  <si>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</si>
  <si>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</si>
  <si>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</si>
  <si>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</si>
  <si>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</si>
  <si>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</si>
  <si>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</si>
  <si>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</si>
  <si>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</si>
  <si>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</si>
  <si>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</si>
  <si>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</si>
  <si>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</si>
  <si>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</si>
  <si>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REQ004-1 Agregar la opción "Buscar contrato" en la interfaz principal del sistema</t>
  </si>
  <si>
    <t>REQ004-2 Diseñar e implementar la barra de búsqueda con filtros</t>
  </si>
  <si>
    <t>REQ004-3 Desarrollar la lógica de backend para filtrar y mostrar los contratos de fideicomisos que coincidan con los datos ingresados.</t>
  </si>
  <si>
    <t>REQ005-1 Implementar botón de "editar" dentro de la vista de detalle del contrato con validación de permisos.</t>
  </si>
  <si>
    <t>REQ005-2  Desarrollar sistema de control de versiones que guarde automáticamente cada modificación con fecha, hora y usuario.</t>
  </si>
  <si>
    <t>REQ005-3 Implementar gestión de permisos: solo la administradora pueden autorizar acceso de edición</t>
  </si>
  <si>
    <t>REQ005-4 Desarrollar historial de versiones visible con opción de ver versiones anteriores del contrato.</t>
  </si>
  <si>
    <t>Agregar opción Buscar contrato en interfaz</t>
  </si>
  <si>
    <t>Diseñar barra de búsqueda con filtros.</t>
  </si>
  <si>
    <t>Implementar botón "editar" con 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</si>
</sst>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0" fillId="23" borderId="37" xfId="0" applyFill="1" applyBorder="1" applyAlignment="1" applyProtection="1">
      <alignment vertical="center"/>
      <protection locked="0"/>
    </xf>
    <xf numFmtId="0" fontId="0" fillId="24" borderId="36" xfId="0" applyFill="1" applyBorder="1" applyAlignment="1" applyProtection="1">
      <alignment vertical="center"/>
      <protection locked="0"/>
    </xf>
    <xf numFmtId="0" fontId="0" fillId="24" borderId="37" xfId="0" applyFill="1" applyBorder="1" applyAlignment="1" applyProtection="1">
      <alignment vertical="center"/>
      <protection locked="0"/>
    </xf>
    <xf numFmtId="14" fontId="0" fillId="24" borderId="37" xfId="0" applyNumberFormat="1" applyFill="1" applyBorder="1" applyAlignment="1" applyProtection="1">
      <alignment horizontal="center" vertical="center"/>
      <protection locked="0"/>
    </xf>
    <xf numFmtId="0" fontId="0" fillId="24" borderId="37" xfId="0" applyFill="1" applyBorder="1" applyAlignment="1">
      <alignment horizontal="right" vertical="center"/>
    </xf>
    <xf numFmtId="14" fontId="6" fillId="24" borderId="38" xfId="1" applyNumberFormat="1" applyFont="1" applyFill="1" applyBorder="1" applyAlignment="1">
      <alignment vertical="center"/>
    </xf>
    <xf numFmtId="0" fontId="0" fillId="24" borderId="0" xfId="0" applyFill="1" applyAlignment="1">
      <alignment wrapText="1"/>
    </xf>
    <xf numFmtId="0" fontId="18" fillId="18" borderId="37" xfId="0" applyFont="1" applyFill="1" applyBorder="1" applyAlignment="1" applyProtection="1">
      <alignment vertical="center" wrapText="1"/>
      <protection locked="0"/>
    </xf>
    <xf numFmtId="0" fontId="0" fillId="23" borderId="37" xfId="0" applyFill="1" applyBorder="1" applyAlignment="1" applyProtection="1">
      <alignment vertical="center" wrapText="1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8"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7" dataDxfId="26">
  <autoFilter ref="B1:G33" xr:uid="{0EAF28E5-0E22-47B4-AD65-B0AEBC07C8FD}"/>
  <tableColumns count="6">
    <tableColumn id="1" xr3:uid="{F0E73C1E-CCFA-4300-AC3D-E67E676E36BF}" name="Español" dataDxfId="25"/>
    <tableColumn id="2" xr3:uid="{36085523-D642-42FF-AE1D-87567505551D}" name="English" dataDxfId="24"/>
    <tableColumn id="3" xr3:uid="{3322FBB4-01E0-4235-A470-44717FDBDCC9}" name="Française" dataDxfId="23"/>
    <tableColumn id="4" xr3:uid="{2DF4B6A9-AFE6-4898-91D8-DC7E333ACF08}" name="Italiano" dataDxfId="22"/>
    <tableColumn id="5" xr3:uid="{9A0035F3-EC53-45C0-B33A-DBC7B4DB4D45}" name="Deutsch" dataDxfId="21"/>
    <tableColumn id="6" xr3:uid="{F02A4F88-64FE-47CB-8FD1-5FD4615BD74A}" name="Português" dataDxfId="2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179" activePane="bottomLeft" state="frozen"/>
      <selection pane="bottomLeft" activeCell="S197" sqref="S197:T197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24" t="str">
        <f>Configura!$B$2</f>
        <v xml:space="preserve">                Tablero KANBAN v3 ©️            </v>
      </c>
      <c r="C2" s="124"/>
      <c r="D2" s="124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70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23" t="str" cm="1">
        <f t="array" aca="1" ref="C4" ca="1">IFERROR(INDEX(Configura!$B$9:$B$18,B4)&amp;" ("&amp;SUMIF(misEstados,B4,misFiltros)&amp;" de "&amp;SUM(misFiltros)&amp;")","")</f>
        <v>POR HACER (2 de 70)</v>
      </c>
      <c r="D4" s="123"/>
      <c r="E4" s="123"/>
      <c r="F4" s="9" t="s">
        <v>0</v>
      </c>
      <c r="G4" s="25">
        <f>B4+1</f>
        <v>2</v>
      </c>
      <c r="H4" s="123" t="str" cm="1">
        <f t="array" aca="1" ref="H4" ca="1">IFERROR(INDEX(Configura!$B$9:$B$18,G4)&amp;" ("&amp;SUMIF(misEstados,G4,misFiltros)&amp;" de "&amp;SUM(misFiltros)&amp;")","")</f>
        <v>EN PROGRESO (10 de 70)</v>
      </c>
      <c r="I4" s="123"/>
      <c r="J4" s="123"/>
      <c r="K4" s="9" t="s">
        <v>0</v>
      </c>
      <c r="L4" s="25">
        <f>G4+1</f>
        <v>3</v>
      </c>
      <c r="M4" s="123" t="str" cm="1">
        <f t="array" aca="1" ref="M4" ca="1">IFERROR(INDEX(Configura!$B$9:$B$18,L4)&amp;" ("&amp;SUMIF(misEstados,L4,misFiltros)&amp;" de "&amp;SUM(misFiltros)&amp;")","")</f>
        <v>EN ESPERA (0 de 70)</v>
      </c>
      <c r="N4" s="123"/>
      <c r="O4" s="123"/>
      <c r="P4" s="9" t="s">
        <v>0</v>
      </c>
      <c r="Q4" s="25">
        <f>L4+1</f>
        <v>4</v>
      </c>
      <c r="R4" s="123" t="str" cm="1">
        <f t="array" aca="1" ref="R4" ca="1">IFERROR(INDEX(Configura!$B$9:$B$18,Q4)&amp;" ("&amp;SUMIF(misEstados,Q4,misFiltros)&amp;" de "&amp;SUM(misFiltros)&amp;")","")</f>
        <v>COMPLETADO (58 de 70)</v>
      </c>
      <c r="S4" s="123"/>
      <c r="T4" s="123"/>
      <c r="U4" s="9" t="s">
        <v>0</v>
      </c>
      <c r="V4" s="25">
        <f>Q4+1</f>
        <v>5</v>
      </c>
      <c r="W4" s="123" t="str" cm="1">
        <f t="array" aca="1" ref="W4" ca="1">IFERROR(INDEX(Configura!$B$9:$B$18,V4)&amp;" ("&amp;SUMIF(misEstados,V4,misFiltros)&amp;" de "&amp;SUM(misFiltros)&amp;")","")</f>
        <v>ARCHIVADO (0 de 70)</v>
      </c>
      <c r="X4" s="123"/>
      <c r="Y4" s="123"/>
      <c r="Z4" s="10" t="s">
        <v>0</v>
      </c>
      <c r="AA4" s="25">
        <f>V4+1</f>
        <v>6</v>
      </c>
      <c r="AB4" s="123" t="str" cm="1">
        <f t="array" aca="1" ref="AB4" ca="1">IFERROR(INDEX(Configura!$B$9:$B$18,AA4)&amp;" ("&amp;SUMIF(misEstados,AA4,misFiltros)&amp;" de "&amp;SUM(misFiltros)&amp;")","")</f>
        <v>POR HACER (0 de 70)</v>
      </c>
      <c r="AC4" s="123"/>
      <c r="AD4" s="123"/>
      <c r="AE4" s="10" t="s">
        <v>0</v>
      </c>
      <c r="AF4" s="25">
        <f>AA4+1</f>
        <v>7</v>
      </c>
      <c r="AG4" s="123" t="str" cm="1">
        <f t="array" aca="1" ref="AG4" ca="1">IFERROR(INDEX(Configura!$B$9:$B$18,AF4)&amp;" ("&amp;SUMIF(misEstados,AF4,misFiltros)&amp;" de "&amp;SUM(misFiltros)&amp;")","")</f>
        <v>EN PROGRESO (0 de 70)</v>
      </c>
      <c r="AH4" s="123"/>
      <c r="AI4" s="123"/>
      <c r="AJ4" s="10" t="s">
        <v>0</v>
      </c>
      <c r="AK4" s="25">
        <f>AF4+1</f>
        <v>8</v>
      </c>
      <c r="AL4" s="123" t="str" cm="1">
        <f t="array" aca="1" ref="AL4" ca="1">IFERROR(INDEX(Configura!$B$9:$B$18,AK4)&amp;" ("&amp;SUMIF(misEstados,AK4,misFiltros)&amp;" de "&amp;SUM(misFiltros)&amp;")","")</f>
        <v xml:space="preserve"> (0 de 70)</v>
      </c>
      <c r="AM4" s="123"/>
      <c r="AN4" s="123"/>
      <c r="AO4" s="10" t="s">
        <v>0</v>
      </c>
      <c r="AP4" s="25">
        <f>AK4+1</f>
        <v>9</v>
      </c>
      <c r="AQ4" s="123" t="str" cm="1">
        <f t="array" aca="1" ref="AQ4" ca="1">IFERROR(INDEX(Configura!$B$9:$B$18,AP4)&amp;" ("&amp;SUMIF(misEstados,AP4,misFiltros)&amp;" de "&amp;SUM(misFiltros)&amp;")","")</f>
        <v xml:space="preserve"> (0 de 70)</v>
      </c>
      <c r="AR4" s="123"/>
      <c r="AS4" s="123"/>
      <c r="AT4" s="10" t="s">
        <v>0</v>
      </c>
      <c r="AU4" s="25">
        <f>AP4+1</f>
        <v>10</v>
      </c>
      <c r="AV4" s="123" t="str" cm="1">
        <f t="array" aca="1" ref="AV4" ca="1">IFERROR(INDEX(Configura!$B$9:$B$18,AU4)&amp;" ("&amp;SUMIF(misEstados,AU4,misFiltros)&amp;" de "&amp;SUM(misFiltros)&amp;")","")</f>
        <v xml:space="preserve"> (0 de 70)</v>
      </c>
      <c r="AW4" s="123"/>
      <c r="AX4" s="123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59:</v>
      </c>
      <c r="D6" s="121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IFERROR(INDEX(Datos!$A$2:$K$102,Formulas!D3,RIGHT(Formulas!F3)+2),"")))</f>
        <v>Defensa de proyecto final</v>
      </c>
      <c r="E6" s="121" t="e" cm="1">
        <f t="array" aca="1" ref="E6" ca="1">IF(OR(Formulas!F4=0,Formulas!F4=""),"",HYPERLINK("["&amp;Archivo_Nombre&amp;"]Datos!"&amp;LEFT(SUBSTITUTE(ADDRESS(1,Formulas!F4+2),"$",""))&amp;Formulas!E4+1,
IFERROR(INDEX(Datos!$A$2:$K$102,Formulas!E4,Formulas!F4+2),"")))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69:</v>
      </c>
      <c r="I6" s="121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IFERROR(INDEX(Datos!$A$2:$K$102,Formulas!I3,RIGHT(Formulas!K3)+2),"")))</f>
        <v>REQ008-3 Integrar Librería de Generación de Excel</v>
      </c>
      <c r="J6" s="121" t="e" cm="1">
        <f t="array" aca="1" ref="J6" ca="1">IF(OR(Formulas!K4=0,Formulas!K4=""),"",HYPERLINK("["&amp;Archivo_Nombre&amp;"]Datos!"&amp;LEFT(SUBSTITUTE(ADDRESS(1,Formulas!K4+2),"$",""))&amp;Formulas!J4+1,
IFERROR(INDEX(Datos!$A$2:$K$102,Formulas!J4,Formulas!K4+2),"")))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21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IFERROR(INDEX(Datos!$A$2:$K$102,Formulas!N3,RIGHT(Formulas!P3)+2),"")))</f>
        <v/>
      </c>
      <c r="O6" s="121" t="str" cm="1">
        <f t="array" aca="1" ref="O6" ca="1">IF(OR(Formulas!P4=0,Formulas!P4=""),"",HYPERLINK("["&amp;Archivo_Nombre&amp;"]Datos!"&amp;LEFT(SUBSTITUTE(ADDRESS(1,Formulas!P4+2),"$",""))&amp;Formulas!O4+1,
IFERROR(INDEX(Datos!$A$2:$K$102,Formulas!O4,Formulas!P4+2),"")))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21" cm="1">
        <f t="array" aca="1" ref="S6" ca="1">IF(OR(Formulas!T3=0,Formulas!T3="",RIGHT(Formulas!U3)="0"),"",
HYPERLINK("["&amp;Archivo_Nombre&amp;"]Datos!"&amp;LEFT(SUBSTITUTE(ADDRESS(1,RIGHT(Formulas!U3)+2),"$",""))&amp;Formulas!S3+1,
IFERROR(INDEX(Datos!$A$2:$K$102,Formulas!S3,RIGHT(Formulas!U3)+2),"")))</f>
        <v>0</v>
      </c>
      <c r="T6" s="121" t="e" cm="1">
        <f t="array" aca="1" ref="T6" ca="1">IF(OR(Formulas!U4=0,Formulas!U4=""),"",HYPERLINK("["&amp;Archivo_Nombre&amp;"]Datos!"&amp;LEFT(SUBSTITUTE(ADDRESS(1,Formulas!U4+2),"$",""))&amp;Formulas!T4+1,
IFERROR(INDEX(Datos!$A$2:$K$102,Formulas!T4,Formulas!U4+2),"")))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21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IFERROR(INDEX(Datos!$A$2:$K$102,Formulas!X3,RIGHT(Formulas!Z3)+2),"")))</f>
        <v/>
      </c>
      <c r="Y6" s="121" t="str" cm="1">
        <f t="array" aca="1" ref="Y6" ca="1">IF(OR(Formulas!Z4=0,Formulas!Z4=""),"",HYPERLINK("["&amp;Archivo_Nombre&amp;"]Datos!"&amp;LEFT(SUBSTITUTE(ADDRESS(1,Formulas!Z4+2),"$",""))&amp;Formulas!Y4+1,
IFERROR(INDEX(Datos!$A$2:$K$102,Formulas!Y4,Formulas!Z4+2),"")))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21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IFERROR(INDEX(Datos!$A$2:$K$102,Formulas!AC3,RIGHT(Formulas!AE3)+2),"")))</f>
        <v/>
      </c>
      <c r="AD6" s="121" t="str" cm="1">
        <f t="array" aca="1" ref="AD6" ca="1">IF(OR(Formulas!AE4=0,Formulas!AE4=""),"",HYPERLINK("["&amp;Archivo_Nombre&amp;"]Datos!"&amp;LEFT(SUBSTITUTE(ADDRESS(1,Formulas!AE4+2),"$",""))&amp;Formulas!AD4+1,
IFERROR(INDEX(Datos!$A$2:$K$102,Formulas!AD4,Formulas!AE4+2),"")))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21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IFERROR(INDEX(Datos!$A$2:$K$102,Formulas!AH3,RIGHT(Formulas!AJ3)+2),"")))</f>
        <v/>
      </c>
      <c r="AI6" s="121" t="str" cm="1">
        <f t="array" aca="1" ref="AI6" ca="1">IF(OR(Formulas!AJ4=0,Formulas!AJ4=""),"",HYPERLINK("["&amp;Archivo_Nombre&amp;"]Datos!"&amp;LEFT(SUBSTITUTE(ADDRESS(1,Formulas!AJ4+2),"$",""))&amp;Formulas!AI4+1,
IFERROR(INDEX(Datos!$A$2:$K$102,Formulas!AI4,Formulas!AJ4+2),"")))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21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IFERROR(INDEX(Datos!$A$2:$K$102,Formulas!AM3,RIGHT(Formulas!AO3)+2),"")))</f>
        <v/>
      </c>
      <c r="AN6" s="121" t="str" cm="1">
        <f t="array" aca="1" ref="AN6" ca="1">IF(OR(Formulas!AO4=0,Formulas!AO4=""),"",HYPERLINK("["&amp;Archivo_Nombre&amp;"]Datos!"&amp;LEFT(SUBSTITUTE(ADDRESS(1,Formulas!AO4+2),"$",""))&amp;Formulas!AN4+1,
IFERROR(INDEX(Datos!$A$2:$K$102,Formulas!AN4,Formulas!AO4+2),"")))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21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IFERROR(INDEX(Datos!$A$2:$K$102,Formulas!AR3,RIGHT(Formulas!AT3)+2),"")))</f>
        <v/>
      </c>
      <c r="AS6" s="121" t="str" cm="1">
        <f t="array" aca="1" ref="AS6" ca="1">IF(OR(Formulas!AT4=0,Formulas!AT4=""),"",HYPERLINK("["&amp;Archivo_Nombre&amp;"]Datos!"&amp;LEFT(SUBSTITUTE(ADDRESS(1,Formulas!AT4+2),"$",""))&amp;Formulas!AS4+1,
IFERROR(INDEX(Datos!$A$2:$K$102,Formulas!AS4,Formulas!AT4+2),"")))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21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IFERROR(INDEX(Datos!$A$2:$K$102,Formulas!AW3,RIGHT(Formulas!AY3)+2),"")))</f>
        <v/>
      </c>
      <c r="AX6" s="121" t="str" cm="1">
        <f t="array" aca="1" ref="AX6" ca="1">IF(OR(Formulas!AY4=0,Formulas!AY4=""),"",HYPERLINK("["&amp;Archivo_Nombre&amp;"]Datos!"&amp;LEFT(SUBSTITUTE(ADDRESS(1,Formulas!AY4+2),"$",""))&amp;Formulas!AX4+1,
IFERROR(INDEX(Datos!$A$2:$K$102,Formulas!AX4,Formulas!AY4+2),"")))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21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IFERROR(INDEX(Datos!$A$2:$K$102,Formulas!D4,RIGHT(Formulas!F4)+2),"")))</f>
        <v>Presentación final Proyecto</v>
      </c>
      <c r="E7" s="121" t="e" cm="1">
        <f t="array" aca="1" ref="E7" ca="1">IF(OR(Formulas!F5=0,Formulas!F5=""),"",HYPERLINK("["&amp;Archivo_Nombre&amp;"]Datos!"&amp;LEFT(SUBSTITUTE(ADDRESS(1,Formulas!F5+2),"$",""))&amp;Formulas!E5+1,
IFERROR(INDEX(Datos!$A$2:$K$102,Formulas!E5,Formulas!F5+2),"")))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21" cm="1">
        <f t="array" aca="1" ref="I7" ca="1">IF(OR(Formulas!J4=0,Formulas!J4="",RIGHT(Formulas!K4)="0"),"",
HYPERLINK("["&amp;Archivo_Nombre&amp;"]Datos!"&amp;LEFT(SUBSTITUTE(ADDRESS(1,RIGHT(Formulas!K4)+2),"$",""))&amp;Formulas!I4+1,
IFERROR(INDEX(Datos!$A$2:$K$102,Formulas!I4,RIGHT(Formulas!K4)+2),"")))</f>
        <v>0</v>
      </c>
      <c r="J7" s="121" t="e" cm="1">
        <f t="array" aca="1" ref="J7" ca="1">IF(OR(Formulas!K5=0,Formulas!K5=""),"",HYPERLINK("["&amp;Archivo_Nombre&amp;"]Datos!"&amp;LEFT(SUBSTITUTE(ADDRESS(1,Formulas!K5+2),"$",""))&amp;Formulas!J5+1,
IFERROR(INDEX(Datos!$A$2:$K$102,Formulas!J5,Formulas!K5+2),"")))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21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IFERROR(INDEX(Datos!$A$2:$K$102,Formulas!N4,RIGHT(Formulas!P4)+2),"")))</f>
        <v/>
      </c>
      <c r="O7" s="121" t="str" cm="1">
        <f t="array" aca="1" ref="O7" ca="1">IF(OR(Formulas!P5=0,Formulas!P5=""),"",HYPERLINK("["&amp;Archivo_Nombre&amp;"]Datos!"&amp;LEFT(SUBSTITUTE(ADDRESS(1,Formulas!P5+2),"$",""))&amp;Formulas!O5+1,
IFERROR(INDEX(Datos!$A$2:$K$102,Formulas!O5,Formulas!P5+2),"")))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21" cm="1">
        <f t="array" aca="1" ref="S7" ca="1">IF(OR(Formulas!T4=0,Formulas!T4="",RIGHT(Formulas!U4)="0"),"",
HYPERLINK("["&amp;Archivo_Nombre&amp;"]Datos!"&amp;LEFT(SUBSTITUTE(ADDRESS(1,RIGHT(Formulas!U4)+2),"$",""))&amp;Formulas!S4+1,
IFERROR(INDEX(Datos!$A$2:$K$102,Formulas!S4,RIGHT(Formulas!U4)+2),"")))</f>
        <v>0</v>
      </c>
      <c r="T7" s="121" t="e" cm="1">
        <f t="array" aca="1" ref="T7" ca="1">IF(OR(Formulas!U5=0,Formulas!U5=""),"",HYPERLINK("["&amp;Archivo_Nombre&amp;"]Datos!"&amp;LEFT(SUBSTITUTE(ADDRESS(1,Formulas!U5+2),"$",""))&amp;Formulas!T5+1,
IFERROR(INDEX(Datos!$A$2:$K$102,Formulas!T5,Formulas!U5+2),"")))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21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IFERROR(INDEX(Datos!$A$2:$K$102,Formulas!X4,RIGHT(Formulas!Z4)+2),"")))</f>
        <v/>
      </c>
      <c r="Y7" s="121" t="str" cm="1">
        <f t="array" aca="1" ref="Y7" ca="1">IF(OR(Formulas!Z5=0,Formulas!Z5=""),"",HYPERLINK("["&amp;Archivo_Nombre&amp;"]Datos!"&amp;LEFT(SUBSTITUTE(ADDRESS(1,Formulas!Z5+2),"$",""))&amp;Formulas!Y5+1,
IFERROR(INDEX(Datos!$A$2:$K$102,Formulas!Y5,Formulas!Z5+2),"")))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21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IFERROR(INDEX(Datos!$A$2:$K$102,Formulas!AC4,RIGHT(Formulas!AE4)+2),"")))</f>
        <v/>
      </c>
      <c r="AD7" s="121" t="str" cm="1">
        <f t="array" aca="1" ref="AD7" ca="1">IF(OR(Formulas!AE5=0,Formulas!AE5=""),"",HYPERLINK("["&amp;Archivo_Nombre&amp;"]Datos!"&amp;LEFT(SUBSTITUTE(ADDRESS(1,Formulas!AE5+2),"$",""))&amp;Formulas!AD5+1,
IFERROR(INDEX(Datos!$A$2:$K$102,Formulas!AD5,Formulas!AE5+2),"")))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21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IFERROR(INDEX(Datos!$A$2:$K$102,Formulas!AH4,RIGHT(Formulas!AJ4)+2),"")))</f>
        <v/>
      </c>
      <c r="AI7" s="121" t="str" cm="1">
        <f t="array" aca="1" ref="AI7" ca="1">IF(OR(Formulas!AJ5=0,Formulas!AJ5=""),"",HYPERLINK("["&amp;Archivo_Nombre&amp;"]Datos!"&amp;LEFT(SUBSTITUTE(ADDRESS(1,Formulas!AJ5+2),"$",""))&amp;Formulas!AI5+1,
IFERROR(INDEX(Datos!$A$2:$K$102,Formulas!AI5,Formulas!AJ5+2),"")))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21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IFERROR(INDEX(Datos!$A$2:$K$102,Formulas!AM4,RIGHT(Formulas!AO4)+2),"")))</f>
        <v/>
      </c>
      <c r="AN7" s="121" t="str" cm="1">
        <f t="array" aca="1" ref="AN7" ca="1">IF(OR(Formulas!AO5=0,Formulas!AO5=""),"",HYPERLINK("["&amp;Archivo_Nombre&amp;"]Datos!"&amp;LEFT(SUBSTITUTE(ADDRESS(1,Formulas!AO5+2),"$",""))&amp;Formulas!AN5+1,
IFERROR(INDEX(Datos!$A$2:$K$102,Formulas!AN5,Formulas!AO5+2),"")))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21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IFERROR(INDEX(Datos!$A$2:$K$102,Formulas!AR4,RIGHT(Formulas!AT4)+2),"")))</f>
        <v/>
      </c>
      <c r="AS7" s="121" t="str" cm="1">
        <f t="array" aca="1" ref="AS7" ca="1">IF(OR(Formulas!AT5=0,Formulas!AT5=""),"",HYPERLINK("["&amp;Archivo_Nombre&amp;"]Datos!"&amp;LEFT(SUBSTITUTE(ADDRESS(1,Formulas!AT5+2),"$",""))&amp;Formulas!AS5+1,
IFERROR(INDEX(Datos!$A$2:$K$102,Formulas!AS5,Formulas!AT5+2),"")))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21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IFERROR(INDEX(Datos!$A$2:$K$102,Formulas!AW4,RIGHT(Formulas!AY4)+2),"")))</f>
        <v/>
      </c>
      <c r="AX7" s="121" t="str" cm="1">
        <f t="array" aca="1" ref="AX7" ca="1">IF(OR(Formulas!AY5=0,Formulas!AY5=""),"",HYPERLINK("["&amp;Archivo_Nombre&amp;"]Datos!"&amp;LEFT(SUBSTITUTE(ADDRESS(1,Formulas!AY5+2),"$",""))&amp;Formulas!AX5+1,
IFERROR(INDEX(Datos!$A$2:$K$102,Formulas!AX5,Formulas!AY5+2),"")))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21" cm="1">
        <f t="array" aca="1" ref="D8" ca="1">IF(OR(Formulas!E5=0,Formulas!E5="",RIGHT(Formulas!F5)="0"),"",
HYPERLINK("["&amp;Archivo_Nombre&amp;"]Datos!"&amp;LEFT(SUBSTITUTE(ADDRESS(1,RIGHT(Formulas!F5)+2),"$",""))&amp;Formulas!D5+1,
IFERROR(INDEX(Datos!$A$2:$K$102,Formulas!D5,RIGHT(Formulas!F5)+2),"")))</f>
        <v>45870</v>
      </c>
      <c r="E8" s="121" t="e" cm="1">
        <f t="array" aca="1" ref="E8" ca="1">IF(OR(Formulas!F6=0,Formulas!F6=""),"",HYPERLINK("["&amp;Archivo_Nombre&amp;"]Datos!"&amp;LEFT(SUBSTITUTE(ADDRESS(1,Formulas!F6+2),"$",""))&amp;Formulas!E6+1,
IFERROR(INDEX(Datos!$A$2:$K$102,Formulas!E6,Formulas!F6+2),"")))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21" cm="1">
        <f t="array" aca="1" ref="I8" ca="1">IF(OR(Formulas!J5=0,Formulas!J5="",RIGHT(Formulas!K5)="0"),"",
HYPERLINK("["&amp;Archivo_Nombre&amp;"]Datos!"&amp;LEFT(SUBSTITUTE(ADDRESS(1,RIGHT(Formulas!K5)+2),"$",""))&amp;Formulas!I5+1,
IFERROR(INDEX(Datos!$A$2:$K$102,Formulas!I5,RIGHT(Formulas!K5)+2),"")))</f>
        <v>46039</v>
      </c>
      <c r="J8" s="121" t="e" cm="1">
        <f t="array" aca="1" ref="J8" ca="1">IF(OR(Formulas!K6=0,Formulas!K6=""),"",HYPERLINK("["&amp;Archivo_Nombre&amp;"]Datos!"&amp;LEFT(SUBSTITUTE(ADDRESS(1,Formulas!K6+2),"$",""))&amp;Formulas!J6+1,
IFERROR(INDEX(Datos!$A$2:$K$102,Formulas!J6,Formulas!K6+2),"")))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21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IFERROR(INDEX(Datos!$A$2:$K$102,Formulas!N5,RIGHT(Formulas!P5)+2),"")))</f>
        <v/>
      </c>
      <c r="O8" s="121" t="str" cm="1">
        <f t="array" aca="1" ref="O8" ca="1">IF(OR(Formulas!P6=0,Formulas!P6=""),"",HYPERLINK("["&amp;Archivo_Nombre&amp;"]Datos!"&amp;LEFT(SUBSTITUTE(ADDRESS(1,Formulas!P6+2),"$",""))&amp;Formulas!O6+1,
IFERROR(INDEX(Datos!$A$2:$K$102,Formulas!O6,Formulas!P6+2),"")))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21" cm="1">
        <f t="array" aca="1" ref="S8" ca="1">IF(OR(Formulas!T5=0,Formulas!T5="",RIGHT(Formulas!U5)="0"),"",
HYPERLINK("["&amp;Archivo_Nombre&amp;"]Datos!"&amp;LEFT(SUBSTITUTE(ADDRESS(1,RIGHT(Formulas!U5)+2),"$",""))&amp;Formulas!S5+1,
IFERROR(INDEX(Datos!$A$2:$K$102,Formulas!S5,RIGHT(Formulas!U5)+2),"")))</f>
        <v>0</v>
      </c>
      <c r="T8" s="121" t="e" cm="1">
        <f t="array" aca="1" ref="T8" ca="1">IF(OR(Formulas!U6=0,Formulas!U6=""),"",HYPERLINK("["&amp;Archivo_Nombre&amp;"]Datos!"&amp;LEFT(SUBSTITUTE(ADDRESS(1,Formulas!U6+2),"$",""))&amp;Formulas!T6+1,
IFERROR(INDEX(Datos!$A$2:$K$102,Formulas!T6,Formulas!U6+2),"")))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21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IFERROR(INDEX(Datos!$A$2:$K$102,Formulas!X5,RIGHT(Formulas!Z5)+2),"")))</f>
        <v/>
      </c>
      <c r="Y8" s="121" t="str" cm="1">
        <f t="array" aca="1" ref="Y8" ca="1">IF(OR(Formulas!Z6=0,Formulas!Z6=""),"",HYPERLINK("["&amp;Archivo_Nombre&amp;"]Datos!"&amp;LEFT(SUBSTITUTE(ADDRESS(1,Formulas!Z6+2),"$",""))&amp;Formulas!Y6+1,
IFERROR(INDEX(Datos!$A$2:$K$102,Formulas!Y6,Formulas!Z6+2),"")))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21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IFERROR(INDEX(Datos!$A$2:$K$102,Formulas!AC5,RIGHT(Formulas!AE5)+2),"")))</f>
        <v/>
      </c>
      <c r="AD8" s="121" t="str" cm="1">
        <f t="array" aca="1" ref="AD8" ca="1">IF(OR(Formulas!AE6=0,Formulas!AE6=""),"",HYPERLINK("["&amp;Archivo_Nombre&amp;"]Datos!"&amp;LEFT(SUBSTITUTE(ADDRESS(1,Formulas!AE6+2),"$",""))&amp;Formulas!AD6+1,
IFERROR(INDEX(Datos!$A$2:$K$102,Formulas!AD6,Formulas!AE6+2),"")))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21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IFERROR(INDEX(Datos!$A$2:$K$102,Formulas!AH5,RIGHT(Formulas!AJ5)+2),"")))</f>
        <v/>
      </c>
      <c r="AI8" s="121" t="str" cm="1">
        <f t="array" aca="1" ref="AI8" ca="1">IF(OR(Formulas!AJ6=0,Formulas!AJ6=""),"",HYPERLINK("["&amp;Archivo_Nombre&amp;"]Datos!"&amp;LEFT(SUBSTITUTE(ADDRESS(1,Formulas!AJ6+2),"$",""))&amp;Formulas!AI6+1,
IFERROR(INDEX(Datos!$A$2:$K$102,Formulas!AI6,Formulas!AJ6+2),"")))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21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IFERROR(INDEX(Datos!$A$2:$K$102,Formulas!AM5,RIGHT(Formulas!AO5)+2),"")))</f>
        <v/>
      </c>
      <c r="AN8" s="121" t="str" cm="1">
        <f t="array" aca="1" ref="AN8" ca="1">IF(OR(Formulas!AO6=0,Formulas!AO6=""),"",HYPERLINK("["&amp;Archivo_Nombre&amp;"]Datos!"&amp;LEFT(SUBSTITUTE(ADDRESS(1,Formulas!AO6+2),"$",""))&amp;Formulas!AN6+1,
IFERROR(INDEX(Datos!$A$2:$K$102,Formulas!AN6,Formulas!AO6+2),"")))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21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IFERROR(INDEX(Datos!$A$2:$K$102,Formulas!AR5,RIGHT(Formulas!AT5)+2),"")))</f>
        <v/>
      </c>
      <c r="AS8" s="121" t="str" cm="1">
        <f t="array" aca="1" ref="AS8" ca="1">IF(OR(Formulas!AT6=0,Formulas!AT6=""),"",HYPERLINK("["&amp;Archivo_Nombre&amp;"]Datos!"&amp;LEFT(SUBSTITUTE(ADDRESS(1,Formulas!AT6+2),"$",""))&amp;Formulas!AS6+1,
IFERROR(INDEX(Datos!$A$2:$K$102,Formulas!AS6,Formulas!AT6+2),"")))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21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IFERROR(INDEX(Datos!$A$2:$K$102,Formulas!AW5,RIGHT(Formulas!AY5)+2),"")))</f>
        <v/>
      </c>
      <c r="AX8" s="121" t="str" cm="1">
        <f t="array" aca="1" ref="AX8" ca="1">IF(OR(Formulas!AY6=0,Formulas!AY6=""),"",HYPERLINK("["&amp;Archivo_Nombre&amp;"]Datos!"&amp;LEFT(SUBSTITUTE(ADDRESS(1,Formulas!AY6+2),"$",""))&amp;Formulas!AX6+1,
IFERROR(INDEX(Datos!$A$2:$K$102,Formulas!AX6,Formulas!AY6+2),"")))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21" cm="1">
        <f t="array" aca="1" ref="D9" ca="1">IF(OR(Formulas!E6=0,Formulas!E6="",RIGHT(Formulas!F6)="0"),"",
HYPERLINK("["&amp;Archivo_Nombre&amp;"]Datos!"&amp;LEFT(SUBSTITUTE(ADDRESS(1,RIGHT(Formulas!F6)+2),"$",""))&amp;Formulas!D6+1,
IFERROR(INDEX(Datos!$A$2:$K$102,Formulas!D6,RIGHT(Formulas!F6)+2),"")))</f>
        <v>45870</v>
      </c>
      <c r="E9" s="121" t="e" cm="1">
        <f t="array" aca="1" ref="E9" ca="1">IF(OR(Formulas!F7=0,Formulas!F7=""),"",HYPERLINK("["&amp;Archivo_Nombre&amp;"]Datos!"&amp;LEFT(SUBSTITUTE(ADDRESS(1,Formulas!F7+2),"$",""))&amp;Formulas!E7+1,
IFERROR(INDEX(Datos!$A$2:$K$102,Formulas!E7,Formulas!F7+2),"")))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21" cm="1">
        <f t="array" aca="1" ref="I9" ca="1">IF(OR(Formulas!J6=0,Formulas!J6="",RIGHT(Formulas!K6)="0"),"",
HYPERLINK("["&amp;Archivo_Nombre&amp;"]Datos!"&amp;LEFT(SUBSTITUTE(ADDRESS(1,RIGHT(Formulas!K6)+2),"$",""))&amp;Formulas!I6+1,
IFERROR(INDEX(Datos!$A$2:$K$102,Formulas!I6,RIGHT(Formulas!K6)+2),"")))</f>
        <v>46051</v>
      </c>
      <c r="J9" s="121" t="e" cm="1">
        <f t="array" aca="1" ref="J9" ca="1">IF(OR(Formulas!K7=0,Formulas!K7=""),"",HYPERLINK("["&amp;Archivo_Nombre&amp;"]Datos!"&amp;LEFT(SUBSTITUTE(ADDRESS(1,Formulas!K7+2),"$",""))&amp;Formulas!J7+1,
IFERROR(INDEX(Datos!$A$2:$K$102,Formulas!J7,Formulas!K7+2),"")))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21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IFERROR(INDEX(Datos!$A$2:$K$102,Formulas!N6,RIGHT(Formulas!P6)+2),"")))</f>
        <v/>
      </c>
      <c r="O9" s="121" t="str" cm="1">
        <f t="array" aca="1" ref="O9" ca="1">IF(OR(Formulas!P7=0,Formulas!P7=""),"",HYPERLINK("["&amp;Archivo_Nombre&amp;"]Datos!"&amp;LEFT(SUBSTITUTE(ADDRESS(1,Formulas!P7+2),"$",""))&amp;Formulas!O7+1,
IFERROR(INDEX(Datos!$A$2:$K$102,Formulas!O7,Formulas!P7+2),"")))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21" cm="1">
        <f t="array" aca="1" ref="S9" ca="1">IF(OR(Formulas!T6=0,Formulas!T6="",RIGHT(Formulas!U6)="0"),"",
HYPERLINK("["&amp;Archivo_Nombre&amp;"]Datos!"&amp;LEFT(SUBSTITUTE(ADDRESS(1,RIGHT(Formulas!U6)+2),"$",""))&amp;Formulas!S6+1,
IFERROR(INDEX(Datos!$A$2:$K$102,Formulas!S6,RIGHT(Formulas!U6)+2),"")))</f>
        <v>0</v>
      </c>
      <c r="T9" s="121" t="e" cm="1">
        <f t="array" aca="1" ref="T9" ca="1">IF(OR(Formulas!U7=0,Formulas!U7=""),"",HYPERLINK("["&amp;Archivo_Nombre&amp;"]Datos!"&amp;LEFT(SUBSTITUTE(ADDRESS(1,Formulas!U7+2),"$",""))&amp;Formulas!T7+1,
IFERROR(INDEX(Datos!$A$2:$K$102,Formulas!T7,Formulas!U7+2),"")))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21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IFERROR(INDEX(Datos!$A$2:$K$102,Formulas!X6,RIGHT(Formulas!Z6)+2),"")))</f>
        <v/>
      </c>
      <c r="Y9" s="121" t="str" cm="1">
        <f t="array" aca="1" ref="Y9" ca="1">IF(OR(Formulas!Z7=0,Formulas!Z7=""),"",HYPERLINK("["&amp;Archivo_Nombre&amp;"]Datos!"&amp;LEFT(SUBSTITUTE(ADDRESS(1,Formulas!Z7+2),"$",""))&amp;Formulas!Y7+1,
IFERROR(INDEX(Datos!$A$2:$K$102,Formulas!Y7,Formulas!Z7+2),"")))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21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IFERROR(INDEX(Datos!$A$2:$K$102,Formulas!AC6,RIGHT(Formulas!AE6)+2),"")))</f>
        <v/>
      </c>
      <c r="AD9" s="121" t="str" cm="1">
        <f t="array" aca="1" ref="AD9" ca="1">IF(OR(Formulas!AE7=0,Formulas!AE7=""),"",HYPERLINK("["&amp;Archivo_Nombre&amp;"]Datos!"&amp;LEFT(SUBSTITUTE(ADDRESS(1,Formulas!AE7+2),"$",""))&amp;Formulas!AD7+1,
IFERROR(INDEX(Datos!$A$2:$K$102,Formulas!AD7,Formulas!AE7+2),"")))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21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IFERROR(INDEX(Datos!$A$2:$K$102,Formulas!AH6,RIGHT(Formulas!AJ6)+2),"")))</f>
        <v/>
      </c>
      <c r="AI9" s="121" t="str" cm="1">
        <f t="array" aca="1" ref="AI9" ca="1">IF(OR(Formulas!AJ7=0,Formulas!AJ7=""),"",HYPERLINK("["&amp;Archivo_Nombre&amp;"]Datos!"&amp;LEFT(SUBSTITUTE(ADDRESS(1,Formulas!AJ7+2),"$",""))&amp;Formulas!AI7+1,
IFERROR(INDEX(Datos!$A$2:$K$102,Formulas!AI7,Formulas!AJ7+2),"")))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21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IFERROR(INDEX(Datos!$A$2:$K$102,Formulas!AM6,RIGHT(Formulas!AO6)+2),"")))</f>
        <v/>
      </c>
      <c r="AN9" s="121" t="str" cm="1">
        <f t="array" aca="1" ref="AN9" ca="1">IF(OR(Formulas!AO7=0,Formulas!AO7=""),"",HYPERLINK("["&amp;Archivo_Nombre&amp;"]Datos!"&amp;LEFT(SUBSTITUTE(ADDRESS(1,Formulas!AO7+2),"$",""))&amp;Formulas!AN7+1,
IFERROR(INDEX(Datos!$A$2:$K$102,Formulas!AN7,Formulas!AO7+2),"")))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21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IFERROR(INDEX(Datos!$A$2:$K$102,Formulas!AR6,RIGHT(Formulas!AT6)+2),"")))</f>
        <v/>
      </c>
      <c r="AS9" s="121" t="str" cm="1">
        <f t="array" aca="1" ref="AS9" ca="1">IF(OR(Formulas!AT7=0,Formulas!AT7=""),"",HYPERLINK("["&amp;Archivo_Nombre&amp;"]Datos!"&amp;LEFT(SUBSTITUTE(ADDRESS(1,Formulas!AT7+2),"$",""))&amp;Formulas!AS7+1,
IFERROR(INDEX(Datos!$A$2:$K$102,Formulas!AS7,Formulas!AT7+2),"")))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21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IFERROR(INDEX(Datos!$A$2:$K$102,Formulas!AW6,RIGHT(Formulas!AY6)+2),"")))</f>
        <v/>
      </c>
      <c r="AX9" s="121" t="str" cm="1">
        <f t="array" aca="1" ref="AX9" ca="1">IF(OR(Formulas!AY7=0,Formulas!AY7=""),"",HYPERLINK("["&amp;Archivo_Nombre&amp;"]Datos!"&amp;LEFT(SUBSTITUTE(ADDRESS(1,Formulas!AY7+2),"$",""))&amp;Formulas!AX7+1,
IFERROR(INDEX(Datos!$A$2:$K$102,Formulas!AX7,Formulas!AY7+2),"")))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21" cm="1">
        <f t="array" aca="1" ref="D10" ca="1">IF(OR(Formulas!E7=0,Formulas!E7="",RIGHT(Formulas!F7)="0"),"",
HYPERLINK("["&amp;Archivo_Nombre&amp;"]Datos!"&amp;LEFT(SUBSTITUTE(ADDRESS(1,RIGHT(Formulas!F7)+2),"$",""))&amp;Formulas!D7+1,
IFERROR(INDEX(Datos!$A$2:$K$102,Formulas!D7,RIGHT(Formulas!F7)+2),"")))</f>
        <v>45870</v>
      </c>
      <c r="E10" s="121" t="e" cm="1">
        <f t="array" aca="1" ref="E10" ca="1">IF(OR(Formulas!F8=0,Formulas!F8=""),"",HYPERLINK("["&amp;Archivo_Nombre&amp;"]Datos!"&amp;LEFT(SUBSTITUTE(ADDRESS(1,Formulas!F8+2),"$",""))&amp;Formulas!E8+1,
IFERROR(INDEX(Datos!$A$2:$K$102,Formulas!E8,Formulas!F8+2),"")))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21" cm="1">
        <f t="array" aca="1" ref="I10" ca="1">IF(OR(Formulas!J7=0,Formulas!J7="",RIGHT(Formulas!K7)="0"),"",
HYPERLINK("["&amp;Archivo_Nombre&amp;"]Datos!"&amp;LEFT(SUBSTITUTE(ADDRESS(1,RIGHT(Formulas!K7)+2),"$",""))&amp;Formulas!I7+1,
IFERROR(INDEX(Datos!$A$2:$K$102,Formulas!I7,RIGHT(Formulas!K7)+2),"")))</f>
        <v>46043</v>
      </c>
      <c r="J10" s="121" t="e" cm="1">
        <f t="array" aca="1" ref="J10" ca="1">IF(OR(Formulas!K8=0,Formulas!K8=""),"",HYPERLINK("["&amp;Archivo_Nombre&amp;"]Datos!"&amp;LEFT(SUBSTITUTE(ADDRESS(1,Formulas!K8+2),"$",""))&amp;Formulas!J8+1,
IFERROR(INDEX(Datos!$A$2:$K$102,Formulas!J8,Formulas!K8+2),"")))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21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IFERROR(INDEX(Datos!$A$2:$K$102,Formulas!N7,RIGHT(Formulas!P7)+2),"")))</f>
        <v/>
      </c>
      <c r="O10" s="121" t="str" cm="1">
        <f t="array" aca="1" ref="O10" ca="1">IF(OR(Formulas!P8=0,Formulas!P8=""),"",HYPERLINK("["&amp;Archivo_Nombre&amp;"]Datos!"&amp;LEFT(SUBSTITUTE(ADDRESS(1,Formulas!P8+2),"$",""))&amp;Formulas!O8+1,
IFERROR(INDEX(Datos!$A$2:$K$102,Formulas!O8,Formulas!P8+2),"")))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21" cm="1">
        <f t="array" aca="1" ref="S10" ca="1">IF(OR(Formulas!T7=0,Formulas!T7="",RIGHT(Formulas!U7)="0"),"",
HYPERLINK("["&amp;Archivo_Nombre&amp;"]Datos!"&amp;LEFT(SUBSTITUTE(ADDRESS(1,RIGHT(Formulas!U7)+2),"$",""))&amp;Formulas!S7+1,
IFERROR(INDEX(Datos!$A$2:$K$102,Formulas!S7,RIGHT(Formulas!U7)+2),"")))</f>
        <v>0</v>
      </c>
      <c r="T10" s="121" t="e" cm="1">
        <f t="array" aca="1" ref="T10" ca="1">IF(OR(Formulas!U8=0,Formulas!U8=""),"",HYPERLINK("["&amp;Archivo_Nombre&amp;"]Datos!"&amp;LEFT(SUBSTITUTE(ADDRESS(1,Formulas!U8+2),"$",""))&amp;Formulas!T8+1,
IFERROR(INDEX(Datos!$A$2:$K$102,Formulas!T8,Formulas!U8+2),"")))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21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IFERROR(INDEX(Datos!$A$2:$K$102,Formulas!X7,RIGHT(Formulas!Z7)+2),"")))</f>
        <v/>
      </c>
      <c r="Y10" s="121" t="str" cm="1">
        <f t="array" aca="1" ref="Y10" ca="1">IF(OR(Formulas!Z8=0,Formulas!Z8=""),"",HYPERLINK("["&amp;Archivo_Nombre&amp;"]Datos!"&amp;LEFT(SUBSTITUTE(ADDRESS(1,Formulas!Z8+2),"$",""))&amp;Formulas!Y8+1,
IFERROR(INDEX(Datos!$A$2:$K$102,Formulas!Y8,Formulas!Z8+2),"")))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21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IFERROR(INDEX(Datos!$A$2:$K$102,Formulas!AC7,RIGHT(Formulas!AE7)+2),"")))</f>
        <v/>
      </c>
      <c r="AD10" s="121" t="str" cm="1">
        <f t="array" aca="1" ref="AD10" ca="1">IF(OR(Formulas!AE8=0,Formulas!AE8=""),"",HYPERLINK("["&amp;Archivo_Nombre&amp;"]Datos!"&amp;LEFT(SUBSTITUTE(ADDRESS(1,Formulas!AE8+2),"$",""))&amp;Formulas!AD8+1,
IFERROR(INDEX(Datos!$A$2:$K$102,Formulas!AD8,Formulas!AE8+2),"")))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21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IFERROR(INDEX(Datos!$A$2:$K$102,Formulas!AH7,RIGHT(Formulas!AJ7)+2),"")))</f>
        <v/>
      </c>
      <c r="AI10" s="121" t="str" cm="1">
        <f t="array" aca="1" ref="AI10" ca="1">IF(OR(Formulas!AJ8=0,Formulas!AJ8=""),"",HYPERLINK("["&amp;Archivo_Nombre&amp;"]Datos!"&amp;LEFT(SUBSTITUTE(ADDRESS(1,Formulas!AJ8+2),"$",""))&amp;Formulas!AI8+1,
IFERROR(INDEX(Datos!$A$2:$K$102,Formulas!AI8,Formulas!AJ8+2),"")))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21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IFERROR(INDEX(Datos!$A$2:$K$102,Formulas!AM7,RIGHT(Formulas!AO7)+2),"")))</f>
        <v/>
      </c>
      <c r="AN10" s="121" t="str" cm="1">
        <f t="array" aca="1" ref="AN10" ca="1">IF(OR(Formulas!AO8=0,Formulas!AO8=""),"",HYPERLINK("["&amp;Archivo_Nombre&amp;"]Datos!"&amp;LEFT(SUBSTITUTE(ADDRESS(1,Formulas!AO8+2),"$",""))&amp;Formulas!AN8+1,
IFERROR(INDEX(Datos!$A$2:$K$102,Formulas!AN8,Formulas!AO8+2),"")))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21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IFERROR(INDEX(Datos!$A$2:$K$102,Formulas!AR7,RIGHT(Formulas!AT7)+2),"")))</f>
        <v/>
      </c>
      <c r="AS10" s="121" t="str" cm="1">
        <f t="array" aca="1" ref="AS10" ca="1">IF(OR(Formulas!AT8=0,Formulas!AT8=""),"",HYPERLINK("["&amp;Archivo_Nombre&amp;"]Datos!"&amp;LEFT(SUBSTITUTE(ADDRESS(1,Formulas!AT8+2),"$",""))&amp;Formulas!AS8+1,
IFERROR(INDEX(Datos!$A$2:$K$102,Formulas!AS8,Formulas!AT8+2),"")))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21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IFERROR(INDEX(Datos!$A$2:$K$102,Formulas!AW7,RIGHT(Formulas!AY7)+2),"")))</f>
        <v/>
      </c>
      <c r="AX10" s="121" t="str" cm="1">
        <f t="array" aca="1" ref="AX10" ca="1">IF(OR(Formulas!AY8=0,Formulas!AY8=""),"",HYPERLINK("["&amp;Archivo_Nombre&amp;"]Datos!"&amp;LEFT(SUBSTITUTE(ADDRESS(1,Formulas!AY8+2),"$",""))&amp;Formulas!AX8+1,
IFERROR(INDEX(Datos!$A$2:$K$102,Formulas!AX8,Formulas!AY8+2),"")))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21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IFERROR(INDEX(Datos!$A$2:$K$102,Formulas!D8,RIGHT(Formulas!F8)+2),"")))</f>
        <v>1 días</v>
      </c>
      <c r="E11" s="121" t="e" cm="1">
        <f t="array" aca="1" ref="E11" ca="1">IF(OR(Formulas!F9=0,Formulas!F9=""),"",HYPERLINK("["&amp;Archivo_Nombre&amp;"]Datos!"&amp;LEFT(SUBSTITUTE(ADDRESS(1,Formulas!F9+2),"$",""))&amp;Formulas!E9+1,
IFERROR(INDEX(Datos!$A$2:$K$102,Formulas!E9,Formulas!F9+2),"")))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21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IFERROR(INDEX(Datos!$A$2:$K$102,Formulas!I8,RIGHT(Formulas!K8)+2),"")))</f>
        <v>5 días</v>
      </c>
      <c r="J11" s="121" t="e" cm="1">
        <f t="array" aca="1" ref="J11" ca="1">IF(OR(Formulas!K9=0,Formulas!K9=""),"",HYPERLINK("["&amp;Archivo_Nombre&amp;"]Datos!"&amp;LEFT(SUBSTITUTE(ADDRESS(1,Formulas!K9+2),"$",""))&amp;Formulas!J9+1,
IFERROR(INDEX(Datos!$A$2:$K$102,Formulas!J9,Formulas!K9+2),"")))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21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IFERROR(INDEX(Datos!$A$2:$K$102,Formulas!N8,RIGHT(Formulas!P8)+2),"")))</f>
        <v/>
      </c>
      <c r="O11" s="121" t="str" cm="1">
        <f t="array" aca="1" ref="O11" ca="1">IF(OR(Formulas!P9=0,Formulas!P9=""),"",HYPERLINK("["&amp;Archivo_Nombre&amp;"]Datos!"&amp;LEFT(SUBSTITUTE(ADDRESS(1,Formulas!P9+2),"$",""))&amp;Formulas!O9+1,
IFERROR(INDEX(Datos!$A$2:$K$102,Formulas!O9,Formulas!P9+2),"")))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21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IFERROR(INDEX(Datos!$A$2:$K$102,Formulas!S8,RIGHT(Formulas!U8)+2),"")))</f>
        <v/>
      </c>
      <c r="T11" s="121" t="e" cm="1">
        <f t="array" aca="1" ref="T11" ca="1">IF(OR(Formulas!U9=0,Formulas!U9=""),"",HYPERLINK("["&amp;Archivo_Nombre&amp;"]Datos!"&amp;LEFT(SUBSTITUTE(ADDRESS(1,Formulas!U9+2),"$",""))&amp;Formulas!T9+1,
IFERROR(INDEX(Datos!$A$2:$K$102,Formulas!T9,Formulas!U9+2),"")))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21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IFERROR(INDEX(Datos!$A$2:$K$102,Formulas!X8,RIGHT(Formulas!Z8)+2),"")))</f>
        <v/>
      </c>
      <c r="Y11" s="121" t="str" cm="1">
        <f t="array" aca="1" ref="Y11" ca="1">IF(OR(Formulas!Z9=0,Formulas!Z9=""),"",HYPERLINK("["&amp;Archivo_Nombre&amp;"]Datos!"&amp;LEFT(SUBSTITUTE(ADDRESS(1,Formulas!Z9+2),"$",""))&amp;Formulas!Y9+1,
IFERROR(INDEX(Datos!$A$2:$K$102,Formulas!Y9,Formulas!Z9+2),"")))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21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IFERROR(INDEX(Datos!$A$2:$K$102,Formulas!AC8,RIGHT(Formulas!AE8)+2),"")))</f>
        <v/>
      </c>
      <c r="AD11" s="121" t="str" cm="1">
        <f t="array" aca="1" ref="AD11" ca="1">IF(OR(Formulas!AE9=0,Formulas!AE9=""),"",HYPERLINK("["&amp;Archivo_Nombre&amp;"]Datos!"&amp;LEFT(SUBSTITUTE(ADDRESS(1,Formulas!AE9+2),"$",""))&amp;Formulas!AD9+1,
IFERROR(INDEX(Datos!$A$2:$K$102,Formulas!AD9,Formulas!AE9+2),"")))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21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IFERROR(INDEX(Datos!$A$2:$K$102,Formulas!AH8,RIGHT(Formulas!AJ8)+2),"")))</f>
        <v/>
      </c>
      <c r="AI11" s="121" t="str" cm="1">
        <f t="array" aca="1" ref="AI11" ca="1">IF(OR(Formulas!AJ9=0,Formulas!AJ9=""),"",HYPERLINK("["&amp;Archivo_Nombre&amp;"]Datos!"&amp;LEFT(SUBSTITUTE(ADDRESS(1,Formulas!AJ9+2),"$",""))&amp;Formulas!AI9+1,
IFERROR(INDEX(Datos!$A$2:$K$102,Formulas!AI9,Formulas!AJ9+2),"")))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21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IFERROR(INDEX(Datos!$A$2:$K$102,Formulas!AM8,RIGHT(Formulas!AO8)+2),"")))</f>
        <v/>
      </c>
      <c r="AN11" s="121" t="str" cm="1">
        <f t="array" aca="1" ref="AN11" ca="1">IF(OR(Formulas!AO9=0,Formulas!AO9=""),"",HYPERLINK("["&amp;Archivo_Nombre&amp;"]Datos!"&amp;LEFT(SUBSTITUTE(ADDRESS(1,Formulas!AO9+2),"$",""))&amp;Formulas!AN9+1,
IFERROR(INDEX(Datos!$A$2:$K$102,Formulas!AN9,Formulas!AO9+2),"")))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21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IFERROR(INDEX(Datos!$A$2:$K$102,Formulas!AR8,RIGHT(Formulas!AT8)+2),"")))</f>
        <v/>
      </c>
      <c r="AS11" s="121" t="str" cm="1">
        <f t="array" aca="1" ref="AS11" ca="1">IF(OR(Formulas!AT9=0,Formulas!AT9=""),"",HYPERLINK("["&amp;Archivo_Nombre&amp;"]Datos!"&amp;LEFT(SUBSTITUTE(ADDRESS(1,Formulas!AT9+2),"$",""))&amp;Formulas!AS9+1,
IFERROR(INDEX(Datos!$A$2:$K$102,Formulas!AS9,Formulas!AT9+2),"")))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21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IFERROR(INDEX(Datos!$A$2:$K$102,Formulas!AW8,RIGHT(Formulas!AY8)+2),"")))</f>
        <v/>
      </c>
      <c r="AX11" s="121" t="str" cm="1">
        <f t="array" aca="1" ref="AX11" ca="1">IF(OR(Formulas!AY9=0,Formulas!AY9=""),"",HYPERLINK("["&amp;Archivo_Nombre&amp;"]Datos!"&amp;LEFT(SUBSTITUTE(ADDRESS(1,Formulas!AY9+2),"$",""))&amp;Formulas!AX9+1,
IFERROR(INDEX(Datos!$A$2:$K$102,Formulas!AX9,Formulas!AY9+2),"")))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21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IFERROR(INDEX(Datos!$A$2:$K$102,Formulas!D9,RIGHT(Formulas!F9)+2),"")))</f>
        <v>0 días</v>
      </c>
      <c r="E12" s="121" t="e" cm="1">
        <f t="array" aca="1" ref="E12" ca="1">IF(OR(Formulas!F10=0,Formulas!F10=""),"",HYPERLINK("["&amp;Archivo_Nombre&amp;"]Datos!"&amp;LEFT(SUBSTITUTE(ADDRESS(1,Formulas!F10+2),"$",""))&amp;Formulas!E10+1,
IFERROR(INDEX(Datos!$A$2:$K$102,Formulas!E10,Formulas!F10+2),"")))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21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IFERROR(INDEX(Datos!$A$2:$K$102,Formulas!I9,RIGHT(Formulas!K9)+2),"")))</f>
        <v>0 días</v>
      </c>
      <c r="J12" s="121" t="e" cm="1">
        <f t="array" aca="1" ref="J12" ca="1">IF(OR(Formulas!K10=0,Formulas!K10=""),"",HYPERLINK("["&amp;Archivo_Nombre&amp;"]Datos!"&amp;LEFT(SUBSTITUTE(ADDRESS(1,Formulas!K10+2),"$",""))&amp;Formulas!J10+1,
IFERROR(INDEX(Datos!$A$2:$K$102,Formulas!J10,Formulas!K10+2),"")))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21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IFERROR(INDEX(Datos!$A$2:$K$102,Formulas!N9,RIGHT(Formulas!P9)+2),"")))</f>
        <v/>
      </c>
      <c r="O12" s="121" t="str" cm="1">
        <f t="array" aca="1" ref="O12" ca="1">IF(OR(Formulas!P10=0,Formulas!P10=""),"",HYPERLINK("["&amp;Archivo_Nombre&amp;"]Datos!"&amp;LEFT(SUBSTITUTE(ADDRESS(1,Formulas!P10+2),"$",""))&amp;Formulas!O10+1,
IFERROR(INDEX(Datos!$A$2:$K$102,Formulas!O10,Formulas!P10+2),"")))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21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IFERROR(INDEX(Datos!$A$2:$K$102,Formulas!S9,RIGHT(Formulas!U9)+2),"")))</f>
        <v/>
      </c>
      <c r="T12" s="121" t="e" cm="1">
        <f t="array" aca="1" ref="T12" ca="1">IF(OR(Formulas!U10=0,Formulas!U10=""),"",HYPERLINK("["&amp;Archivo_Nombre&amp;"]Datos!"&amp;LEFT(SUBSTITUTE(ADDRESS(1,Formulas!U10+2),"$",""))&amp;Formulas!T10+1,
IFERROR(INDEX(Datos!$A$2:$K$102,Formulas!T10,Formulas!U10+2),"")))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21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IFERROR(INDEX(Datos!$A$2:$K$102,Formulas!X9,RIGHT(Formulas!Z9)+2),"")))</f>
        <v/>
      </c>
      <c r="Y12" s="121" t="str" cm="1">
        <f t="array" aca="1" ref="Y12" ca="1">IF(OR(Formulas!Z10=0,Formulas!Z10=""),"",HYPERLINK("["&amp;Archivo_Nombre&amp;"]Datos!"&amp;LEFT(SUBSTITUTE(ADDRESS(1,Formulas!Z10+2),"$",""))&amp;Formulas!Y10+1,
IFERROR(INDEX(Datos!$A$2:$K$102,Formulas!Y10,Formulas!Z10+2),"")))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21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IFERROR(INDEX(Datos!$A$2:$K$102,Formulas!AC9,RIGHT(Formulas!AE9)+2),"")))</f>
        <v/>
      </c>
      <c r="AD12" s="121" t="str" cm="1">
        <f t="array" aca="1" ref="AD12" ca="1">IF(OR(Formulas!AE10=0,Formulas!AE10=""),"",HYPERLINK("["&amp;Archivo_Nombre&amp;"]Datos!"&amp;LEFT(SUBSTITUTE(ADDRESS(1,Formulas!AE10+2),"$",""))&amp;Formulas!AD10+1,
IFERROR(INDEX(Datos!$A$2:$K$102,Formulas!AD10,Formulas!AE10+2),"")))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21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IFERROR(INDEX(Datos!$A$2:$K$102,Formulas!AH9,RIGHT(Formulas!AJ9)+2),"")))</f>
        <v/>
      </c>
      <c r="AI12" s="121" t="str" cm="1">
        <f t="array" aca="1" ref="AI12" ca="1">IF(OR(Formulas!AJ10=0,Formulas!AJ10=""),"",HYPERLINK("["&amp;Archivo_Nombre&amp;"]Datos!"&amp;LEFT(SUBSTITUTE(ADDRESS(1,Formulas!AJ10+2),"$",""))&amp;Formulas!AI10+1,
IFERROR(INDEX(Datos!$A$2:$K$102,Formulas!AI10,Formulas!AJ10+2),"")))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21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IFERROR(INDEX(Datos!$A$2:$K$102,Formulas!AM9,RIGHT(Formulas!AO9)+2),"")))</f>
        <v/>
      </c>
      <c r="AN12" s="121" t="str" cm="1">
        <f t="array" aca="1" ref="AN12" ca="1">IF(OR(Formulas!AO10=0,Formulas!AO10=""),"",HYPERLINK("["&amp;Archivo_Nombre&amp;"]Datos!"&amp;LEFT(SUBSTITUTE(ADDRESS(1,Formulas!AO10+2),"$",""))&amp;Formulas!AN10+1,
IFERROR(INDEX(Datos!$A$2:$K$102,Formulas!AN10,Formulas!AO10+2),"")))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21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IFERROR(INDEX(Datos!$A$2:$K$102,Formulas!AR9,RIGHT(Formulas!AT9)+2),"")))</f>
        <v/>
      </c>
      <c r="AS12" s="121" t="str" cm="1">
        <f t="array" aca="1" ref="AS12" ca="1">IF(OR(Formulas!AT10=0,Formulas!AT10=""),"",HYPERLINK("["&amp;Archivo_Nombre&amp;"]Datos!"&amp;LEFT(SUBSTITUTE(ADDRESS(1,Formulas!AT10+2),"$",""))&amp;Formulas!AS10+1,
IFERROR(INDEX(Datos!$A$2:$K$102,Formulas!AS10,Formulas!AT10+2),"")))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21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IFERROR(INDEX(Datos!$A$2:$K$102,Formulas!AW9,RIGHT(Formulas!AY9)+2),"")))</f>
        <v/>
      </c>
      <c r="AX12" s="121" t="str" cm="1">
        <f t="array" aca="1" ref="AX12" ca="1">IF(OR(Formulas!AY10=0,Formulas!AY10=""),"",HYPERLINK("["&amp;Archivo_Nombre&amp;"]Datos!"&amp;LEFT(SUBSTITUTE(ADDRESS(1,Formulas!AY10+2),"$",""))&amp;Formulas!AX10+1,
IFERROR(INDEX(Datos!$A$2:$K$102,Formulas!AX10,Formulas!AY10+2),"")))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21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IFERROR(INDEX(Datos!$A$2:$K$102,Formulas!D10,RIGHT(Formulas!F10)+2),"")))</f>
        <v>Kevin Andino</v>
      </c>
      <c r="E13" s="121" t="str" cm="1">
        <f t="array" aca="1" ref="E13" ca="1">IF(OR(Formulas!F11=0,Formulas!F11=""),"",HYPERLINK("["&amp;Archivo_Nombre&amp;"]Datos!"&amp;LEFT(SUBSTITUTE(ADDRESS(1,Formulas!F11+2),"$",""))&amp;Formulas!E11+1,
IFERROR(INDEX(Datos!$A$2:$K$102,Formulas!E11,Formulas!F11+2),"")))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21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IFERROR(INDEX(Datos!$A$2:$K$102,Formulas!I10,RIGHT(Formulas!K10)+2),"")))</f>
        <v>Madellyn Tasipanta</v>
      </c>
      <c r="J13" s="121" t="str" cm="1">
        <f t="array" aca="1" ref="J13" ca="1">IF(OR(Formulas!K11=0,Formulas!K11=""),"",HYPERLINK("["&amp;Archivo_Nombre&amp;"]Datos!"&amp;LEFT(SUBSTITUTE(ADDRESS(1,Formulas!K11+2),"$",""))&amp;Formulas!J11+1,
IFERROR(INDEX(Datos!$A$2:$K$102,Formulas!J11,Formulas!K11+2),"")))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21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IFERROR(INDEX(Datos!$A$2:$K$102,Formulas!N10,RIGHT(Formulas!P10)+2),"")))</f>
        <v/>
      </c>
      <c r="O13" s="121" t="str" cm="1">
        <f t="array" aca="1" ref="O13" ca="1">IF(OR(Formulas!P11=0,Formulas!P11=""),"",HYPERLINK("["&amp;Archivo_Nombre&amp;"]Datos!"&amp;LEFT(SUBSTITUTE(ADDRESS(1,Formulas!P11+2),"$",""))&amp;Formulas!O11+1,
IFERROR(INDEX(Datos!$A$2:$K$102,Formulas!O11,Formulas!P11+2),"")))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21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IFERROR(INDEX(Datos!$A$2:$K$102,Formulas!S10,RIGHT(Formulas!U10)+2),"")))</f>
        <v>0</v>
      </c>
      <c r="T13" s="121" t="str" cm="1">
        <f t="array" aca="1" ref="T13" ca="1">IF(OR(Formulas!U11=0,Formulas!U11=""),"",HYPERLINK("["&amp;Archivo_Nombre&amp;"]Datos!"&amp;LEFT(SUBSTITUTE(ADDRESS(1,Formulas!U11+2),"$",""))&amp;Formulas!T11+1,
IFERROR(INDEX(Datos!$A$2:$K$102,Formulas!T11,Formulas!U11+2),"")))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21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IFERROR(INDEX(Datos!$A$2:$K$102,Formulas!X10,RIGHT(Formulas!Z10)+2),"")))</f>
        <v/>
      </c>
      <c r="Y13" s="121" t="str" cm="1">
        <f t="array" aca="1" ref="Y13" ca="1">IF(OR(Formulas!Z11=0,Formulas!Z11=""),"",HYPERLINK("["&amp;Archivo_Nombre&amp;"]Datos!"&amp;LEFT(SUBSTITUTE(ADDRESS(1,Formulas!Z11+2),"$",""))&amp;Formulas!Y11+1,
IFERROR(INDEX(Datos!$A$2:$K$102,Formulas!Y11,Formulas!Z11+2),"")))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21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IFERROR(INDEX(Datos!$A$2:$K$102,Formulas!AC10,RIGHT(Formulas!AE10)+2),"")))</f>
        <v/>
      </c>
      <c r="AD13" s="121" t="str" cm="1">
        <f t="array" aca="1" ref="AD13" ca="1">IF(OR(Formulas!AE11=0,Formulas!AE11=""),"",HYPERLINK("["&amp;Archivo_Nombre&amp;"]Datos!"&amp;LEFT(SUBSTITUTE(ADDRESS(1,Formulas!AE11+2),"$",""))&amp;Formulas!AD11+1,
IFERROR(INDEX(Datos!$A$2:$K$102,Formulas!AD11,Formulas!AE11+2),"")))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21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IFERROR(INDEX(Datos!$A$2:$K$102,Formulas!AH10,RIGHT(Formulas!AJ10)+2),"")))</f>
        <v/>
      </c>
      <c r="AI13" s="121" t="str" cm="1">
        <f t="array" aca="1" ref="AI13" ca="1">IF(OR(Formulas!AJ11=0,Formulas!AJ11=""),"",HYPERLINK("["&amp;Archivo_Nombre&amp;"]Datos!"&amp;LEFT(SUBSTITUTE(ADDRESS(1,Formulas!AJ11+2),"$",""))&amp;Formulas!AI11+1,
IFERROR(INDEX(Datos!$A$2:$K$102,Formulas!AI11,Formulas!AJ11+2),"")))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21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IFERROR(INDEX(Datos!$A$2:$K$102,Formulas!AM10,RIGHT(Formulas!AO10)+2),"")))</f>
        <v/>
      </c>
      <c r="AN13" s="121" t="str" cm="1">
        <f t="array" aca="1" ref="AN13" ca="1">IF(OR(Formulas!AO11=0,Formulas!AO11=""),"",HYPERLINK("["&amp;Archivo_Nombre&amp;"]Datos!"&amp;LEFT(SUBSTITUTE(ADDRESS(1,Formulas!AO11+2),"$",""))&amp;Formulas!AN11+1,
IFERROR(INDEX(Datos!$A$2:$K$102,Formulas!AN11,Formulas!AO11+2),"")))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21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IFERROR(INDEX(Datos!$A$2:$K$102,Formulas!AR10,RIGHT(Formulas!AT10)+2),"")))</f>
        <v/>
      </c>
      <c r="AS13" s="121" t="str" cm="1">
        <f t="array" aca="1" ref="AS13" ca="1">IF(OR(Formulas!AT11=0,Formulas!AT11=""),"",HYPERLINK("["&amp;Archivo_Nombre&amp;"]Datos!"&amp;LEFT(SUBSTITUTE(ADDRESS(1,Formulas!AT11+2),"$",""))&amp;Formulas!AS11+1,
IFERROR(INDEX(Datos!$A$2:$K$102,Formulas!AS11,Formulas!AT11+2),"")))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21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IFERROR(INDEX(Datos!$A$2:$K$102,Formulas!AW10,RIGHT(Formulas!AY10)+2),"")))</f>
        <v/>
      </c>
      <c r="AX13" s="121" t="str" cm="1">
        <f t="array" aca="1" ref="AX13" ca="1">IF(OR(Formulas!AY11=0,Formulas!AY11=""),"",HYPERLINK("["&amp;Archivo_Nombre&amp;"]Datos!"&amp;LEFT(SUBSTITUTE(ADDRESS(1,Formulas!AY11+2),"$",""))&amp;Formulas!AX11+1,
IFERROR(INDEX(Datos!$A$2:$K$102,Formulas!AX11,Formulas!AY11+2),"")))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21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IFERROR(INDEX(Datos!$A$2:$K$102,Formulas!D11,RIGHT(Formulas!F11)+2),"")))</f>
        <v/>
      </c>
      <c r="E14" s="121" t="e" cm="1">
        <f t="array" aca="1" ref="E14" ca="1">IF(OR(Formulas!F12=0,Formulas!F12=""),"",HYPERLINK("["&amp;Archivo_Nombre&amp;"]Datos!"&amp;LEFT(SUBSTITUTE(ADDRESS(1,Formulas!F12+2),"$",""))&amp;Formulas!E12+1,
IFERROR(INDEX(Datos!$A$2:$K$102,Formulas!E12,Formulas!F12+2),"")))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21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IFERROR(INDEX(Datos!$A$2:$K$102,Formulas!I11,RIGHT(Formulas!K11)+2),"")))</f>
        <v/>
      </c>
      <c r="J14" s="121" t="e" cm="1">
        <f t="array" aca="1" ref="J14" ca="1">IF(OR(Formulas!K12=0,Formulas!K12=""),"",HYPERLINK("["&amp;Archivo_Nombre&amp;"]Datos!"&amp;LEFT(SUBSTITUTE(ADDRESS(1,Formulas!K12+2),"$",""))&amp;Formulas!J12+1,
IFERROR(INDEX(Datos!$A$2:$K$102,Formulas!J12,Formulas!K12+2),"")))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21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IFERROR(INDEX(Datos!$A$2:$K$102,Formulas!N11,RIGHT(Formulas!P11)+2),"")))</f>
        <v/>
      </c>
      <c r="O14" s="121" t="str" cm="1">
        <f t="array" aca="1" ref="O14" ca="1">IF(OR(Formulas!P12=0,Formulas!P12=""),"",HYPERLINK("["&amp;Archivo_Nombre&amp;"]Datos!"&amp;LEFT(SUBSTITUTE(ADDRESS(1,Formulas!P12+2),"$",""))&amp;Formulas!O12+1,
IFERROR(INDEX(Datos!$A$2:$K$102,Formulas!O12,Formulas!P12+2),"")))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21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IFERROR(INDEX(Datos!$A$2:$K$102,Formulas!S11,RIGHT(Formulas!U11)+2),"")))</f>
        <v/>
      </c>
      <c r="T14" s="121" t="e" cm="1">
        <f t="array" aca="1" ref="T14" ca="1">IF(OR(Formulas!U12=0,Formulas!U12=""),"",HYPERLINK("["&amp;Archivo_Nombre&amp;"]Datos!"&amp;LEFT(SUBSTITUTE(ADDRESS(1,Formulas!U12+2),"$",""))&amp;Formulas!T12+1,
IFERROR(INDEX(Datos!$A$2:$K$102,Formulas!T12,Formulas!U12+2),"")))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21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IFERROR(INDEX(Datos!$A$2:$K$102,Formulas!X11,RIGHT(Formulas!Z11)+2),"")))</f>
        <v/>
      </c>
      <c r="Y14" s="121" t="str" cm="1">
        <f t="array" aca="1" ref="Y14" ca="1">IF(OR(Formulas!Z12=0,Formulas!Z12=""),"",HYPERLINK("["&amp;Archivo_Nombre&amp;"]Datos!"&amp;LEFT(SUBSTITUTE(ADDRESS(1,Formulas!Z12+2),"$",""))&amp;Formulas!Y12+1,
IFERROR(INDEX(Datos!$A$2:$K$102,Formulas!Y12,Formulas!Z12+2),"")))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21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IFERROR(INDEX(Datos!$A$2:$K$102,Formulas!AC11,RIGHT(Formulas!AE11)+2),"")))</f>
        <v/>
      </c>
      <c r="AD14" s="121" t="str" cm="1">
        <f t="array" aca="1" ref="AD14" ca="1">IF(OR(Formulas!AE12=0,Formulas!AE12=""),"",HYPERLINK("["&amp;Archivo_Nombre&amp;"]Datos!"&amp;LEFT(SUBSTITUTE(ADDRESS(1,Formulas!AE12+2),"$",""))&amp;Formulas!AD12+1,
IFERROR(INDEX(Datos!$A$2:$K$102,Formulas!AD12,Formulas!AE12+2),"")))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21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IFERROR(INDEX(Datos!$A$2:$K$102,Formulas!AH11,RIGHT(Formulas!AJ11)+2),"")))</f>
        <v/>
      </c>
      <c r="AI14" s="121" t="str" cm="1">
        <f t="array" aca="1" ref="AI14" ca="1">IF(OR(Formulas!AJ12=0,Formulas!AJ12=""),"",HYPERLINK("["&amp;Archivo_Nombre&amp;"]Datos!"&amp;LEFT(SUBSTITUTE(ADDRESS(1,Formulas!AJ12+2),"$",""))&amp;Formulas!AI12+1,
IFERROR(INDEX(Datos!$A$2:$K$102,Formulas!AI12,Formulas!AJ12+2),"")))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21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IFERROR(INDEX(Datos!$A$2:$K$102,Formulas!AM11,RIGHT(Formulas!AO11)+2),"")))</f>
        <v/>
      </c>
      <c r="AN14" s="121" t="str" cm="1">
        <f t="array" aca="1" ref="AN14" ca="1">IF(OR(Formulas!AO12=0,Formulas!AO12=""),"",HYPERLINK("["&amp;Archivo_Nombre&amp;"]Datos!"&amp;LEFT(SUBSTITUTE(ADDRESS(1,Formulas!AO12+2),"$",""))&amp;Formulas!AN12+1,
IFERROR(INDEX(Datos!$A$2:$K$102,Formulas!AN12,Formulas!AO12+2),"")))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21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IFERROR(INDEX(Datos!$A$2:$K$102,Formulas!AR11,RIGHT(Formulas!AT11)+2),"")))</f>
        <v/>
      </c>
      <c r="AS14" s="121" t="str" cm="1">
        <f t="array" aca="1" ref="AS14" ca="1">IF(OR(Formulas!AT12=0,Formulas!AT12=""),"",HYPERLINK("["&amp;Archivo_Nombre&amp;"]Datos!"&amp;LEFT(SUBSTITUTE(ADDRESS(1,Formulas!AT12+2),"$",""))&amp;Formulas!AS12+1,
IFERROR(INDEX(Datos!$A$2:$K$102,Formulas!AS12,Formulas!AT12+2),"")))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21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IFERROR(INDEX(Datos!$A$2:$K$102,Formulas!AW11,RIGHT(Formulas!AY11)+2),"")))</f>
        <v/>
      </c>
      <c r="AX14" s="121" t="str" cm="1">
        <f t="array" aca="1" ref="AX14" ca="1">IF(OR(Formulas!AY12=0,Formulas!AY12=""),"",HYPERLINK("["&amp;Archivo_Nombre&amp;"]Datos!"&amp;LEFT(SUBSTITUTE(ADDRESS(1,Formulas!AY12+2),"$",""))&amp;Formulas!AX12+1,
IFERROR(INDEX(Datos!$A$2:$K$102,Formulas!AX12,Formulas!AY12+2),"")))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58:</v>
      </c>
      <c r="D15" s="121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IFERROR(INDEX(Datos!$A$2:$K$102,Formulas!D12,RIGHT(Formulas!F12)+2),"")))</f>
        <v>Retroalimentación con Product owner</v>
      </c>
      <c r="E15" s="121" t="e" cm="1">
        <f t="array" aca="1" ref="E15" ca="1">IF(OR(Formulas!F13=0,Formulas!F13=""),"",HYPERLINK("["&amp;Archivo_Nombre&amp;"]Datos!"&amp;LEFT(SUBSTITUTE(ADDRESS(1,Formulas!F13+2),"$",""))&amp;Formulas!E13+1,
IFERROR(INDEX(Datos!$A$2:$K$102,Formulas!E13,Formulas!F13+2),"")))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68:</v>
      </c>
      <c r="I15" s="121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IFERROR(INDEX(Datos!$A$2:$K$102,Formulas!I12,RIGHT(Formulas!K12)+2),"")))</f>
        <v>REQ008-2 Integrar Librería de Generación de PDF</v>
      </c>
      <c r="J15" s="121" t="e" cm="1">
        <f t="array" aca="1" ref="J15" ca="1">IF(OR(Formulas!K13=0,Formulas!K13=""),"",HYPERLINK("["&amp;Archivo_Nombre&amp;"]Datos!"&amp;LEFT(SUBSTITUTE(ADDRESS(1,Formulas!K13+2),"$",""))&amp;Formulas!J13+1,
IFERROR(INDEX(Datos!$A$2:$K$102,Formulas!J13,Formulas!K13+2),"")))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21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IFERROR(INDEX(Datos!$A$2:$K$102,Formulas!N12,RIGHT(Formulas!P12)+2),"")))</f>
        <v/>
      </c>
      <c r="O15" s="121" t="str" cm="1">
        <f t="array" aca="1" ref="O15" ca="1">IF(OR(Formulas!P13=0,Formulas!P13=""),"",HYPERLINK("["&amp;Archivo_Nombre&amp;"]Datos!"&amp;LEFT(SUBSTITUTE(ADDRESS(1,Formulas!P13+2),"$",""))&amp;Formulas!O13+1,
IFERROR(INDEX(Datos!$A$2:$K$102,Formulas!O13,Formulas!P13+2),"")))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57:</v>
      </c>
      <c r="S15" s="121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IFERROR(INDEX(Datos!$A$2:$K$102,Formulas!S12,RIGHT(Formulas!U12)+2),"")))</f>
        <v>REQ006-3 Verificar que el contrato exista y pueda ser eliminado.</v>
      </c>
      <c r="T15" s="121" t="e" cm="1">
        <f t="array" aca="1" ref="T15" ca="1">IF(OR(Formulas!U13=0,Formulas!U13=""),"",HYPERLINK("["&amp;Archivo_Nombre&amp;"]Datos!"&amp;LEFT(SUBSTITUTE(ADDRESS(1,Formulas!U13+2),"$",""))&amp;Formulas!T13+1,
IFERROR(INDEX(Datos!$A$2:$K$102,Formulas!T13,Formulas!U13+2),"")))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21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IFERROR(INDEX(Datos!$A$2:$K$102,Formulas!X12,RIGHT(Formulas!Z12)+2),"")))</f>
        <v/>
      </c>
      <c r="Y15" s="121" t="str" cm="1">
        <f t="array" aca="1" ref="Y15" ca="1">IF(OR(Formulas!Z13=0,Formulas!Z13=""),"",HYPERLINK("["&amp;Archivo_Nombre&amp;"]Datos!"&amp;LEFT(SUBSTITUTE(ADDRESS(1,Formulas!Z13+2),"$",""))&amp;Formulas!Y13+1,
IFERROR(INDEX(Datos!$A$2:$K$102,Formulas!Y13,Formulas!Z13+2),"")))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21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IFERROR(INDEX(Datos!$A$2:$K$102,Formulas!AC12,RIGHT(Formulas!AE12)+2),"")))</f>
        <v/>
      </c>
      <c r="AD15" s="121" t="str" cm="1">
        <f t="array" aca="1" ref="AD15" ca="1">IF(OR(Formulas!AE13=0,Formulas!AE13=""),"",HYPERLINK("["&amp;Archivo_Nombre&amp;"]Datos!"&amp;LEFT(SUBSTITUTE(ADDRESS(1,Formulas!AE13+2),"$",""))&amp;Formulas!AD13+1,
IFERROR(INDEX(Datos!$A$2:$K$102,Formulas!AD13,Formulas!AE13+2),"")))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21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IFERROR(INDEX(Datos!$A$2:$K$102,Formulas!AH12,RIGHT(Formulas!AJ12)+2),"")))</f>
        <v/>
      </c>
      <c r="AI15" s="121" t="str" cm="1">
        <f t="array" aca="1" ref="AI15" ca="1">IF(OR(Formulas!AJ13=0,Formulas!AJ13=""),"",HYPERLINK("["&amp;Archivo_Nombre&amp;"]Datos!"&amp;LEFT(SUBSTITUTE(ADDRESS(1,Formulas!AJ13+2),"$",""))&amp;Formulas!AI13+1,
IFERROR(INDEX(Datos!$A$2:$K$102,Formulas!AI13,Formulas!AJ13+2),"")))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21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IFERROR(INDEX(Datos!$A$2:$K$102,Formulas!AM12,RIGHT(Formulas!AO12)+2),"")))</f>
        <v/>
      </c>
      <c r="AN15" s="121" t="str" cm="1">
        <f t="array" aca="1" ref="AN15" ca="1">IF(OR(Formulas!AO13=0,Formulas!AO13=""),"",HYPERLINK("["&amp;Archivo_Nombre&amp;"]Datos!"&amp;LEFT(SUBSTITUTE(ADDRESS(1,Formulas!AO13+2),"$",""))&amp;Formulas!AN13+1,
IFERROR(INDEX(Datos!$A$2:$K$102,Formulas!AN13,Formulas!AO13+2),"")))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21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IFERROR(INDEX(Datos!$A$2:$K$102,Formulas!AR12,RIGHT(Formulas!AT12)+2),"")))</f>
        <v/>
      </c>
      <c r="AS15" s="121" t="str" cm="1">
        <f t="array" aca="1" ref="AS15" ca="1">IF(OR(Formulas!AT13=0,Formulas!AT13=""),"",HYPERLINK("["&amp;Archivo_Nombre&amp;"]Datos!"&amp;LEFT(SUBSTITUTE(ADDRESS(1,Formulas!AT13+2),"$",""))&amp;Formulas!AS13+1,
IFERROR(INDEX(Datos!$A$2:$K$102,Formulas!AS13,Formulas!AT13+2),"")))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21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IFERROR(INDEX(Datos!$A$2:$K$102,Formulas!AW12,RIGHT(Formulas!AY12)+2),"")))</f>
        <v/>
      </c>
      <c r="AX15" s="121" t="str" cm="1">
        <f t="array" aca="1" ref="AX15" ca="1">IF(OR(Formulas!AY13=0,Formulas!AY13=""),"",HYPERLINK("["&amp;Archivo_Nombre&amp;"]Datos!"&amp;LEFT(SUBSTITUTE(ADDRESS(1,Formulas!AY13+2),"$",""))&amp;Formulas!AX13+1,
IFERROR(INDEX(Datos!$A$2:$K$102,Formulas!AX13,Formulas!AY13+2),"")))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21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IFERROR(INDEX(Datos!$A$2:$K$102,Formulas!D13,RIGHT(Formulas!F13)+2),"")))</f>
        <v>Sugerenicas del Product Owner</v>
      </c>
      <c r="E16" s="121" t="e" cm="1">
        <f t="array" aca="1" ref="E16" ca="1">IF(OR(Formulas!F14=0,Formulas!F14=""),"",HYPERLINK("["&amp;Archivo_Nombre&amp;"]Datos!"&amp;LEFT(SUBSTITUTE(ADDRESS(1,Formulas!F14+2),"$",""))&amp;Formulas!E14+1,
IFERROR(INDEX(Datos!$A$2:$K$102,Formulas!E14,Formulas!F14+2),"")))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21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IFERROR(INDEX(Datos!$A$2:$K$102,Formulas!I13,RIGHT(Formulas!K13)+2),"")))</f>
        <v>0</v>
      </c>
      <c r="J16" s="121" t="e" cm="1">
        <f t="array" aca="1" ref="J16" ca="1">IF(OR(Formulas!K14=0,Formulas!K14=""),"",HYPERLINK("["&amp;Archivo_Nombre&amp;"]Datos!"&amp;LEFT(SUBSTITUTE(ADDRESS(1,Formulas!K14+2),"$",""))&amp;Formulas!J14+1,
IFERROR(INDEX(Datos!$A$2:$K$102,Formulas!J14,Formulas!K14+2),"")))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21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IFERROR(INDEX(Datos!$A$2:$K$102,Formulas!N13,RIGHT(Formulas!P13)+2),"")))</f>
        <v/>
      </c>
      <c r="O16" s="121" t="str" cm="1">
        <f t="array" aca="1" ref="O16" ca="1">IF(OR(Formulas!P14=0,Formulas!P14=""),"",HYPERLINK("["&amp;Archivo_Nombre&amp;"]Datos!"&amp;LEFT(SUBSTITUTE(ADDRESS(1,Formulas!P14+2),"$",""))&amp;Formulas!O14+1,
IFERROR(INDEX(Datos!$A$2:$K$102,Formulas!O14,Formulas!P14+2),"")))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21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IFERROR(INDEX(Datos!$A$2:$K$102,Formulas!S13,RIGHT(Formulas!U13)+2),"")))</f>
        <v>Verificar en el menu de todos los contratos.</v>
      </c>
      <c r="T16" s="121" t="e" cm="1">
        <f t="array" aca="1" ref="T16" ca="1">IF(OR(Formulas!U14=0,Formulas!U14=""),"",HYPERLINK("["&amp;Archivo_Nombre&amp;"]Datos!"&amp;LEFT(SUBSTITUTE(ADDRESS(1,Formulas!U14+2),"$",""))&amp;Formulas!T14+1,
IFERROR(INDEX(Datos!$A$2:$K$102,Formulas!T14,Formulas!U14+2),"")))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21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IFERROR(INDEX(Datos!$A$2:$K$102,Formulas!X13,RIGHT(Formulas!Z13)+2),"")))</f>
        <v/>
      </c>
      <c r="Y16" s="121" t="str" cm="1">
        <f t="array" aca="1" ref="Y16" ca="1">IF(OR(Formulas!Z14=0,Formulas!Z14=""),"",HYPERLINK("["&amp;Archivo_Nombre&amp;"]Datos!"&amp;LEFT(SUBSTITUTE(ADDRESS(1,Formulas!Z14+2),"$",""))&amp;Formulas!Y14+1,
IFERROR(INDEX(Datos!$A$2:$K$102,Formulas!Y14,Formulas!Z14+2),"")))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21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IFERROR(INDEX(Datos!$A$2:$K$102,Formulas!AC13,RIGHT(Formulas!AE13)+2),"")))</f>
        <v/>
      </c>
      <c r="AD16" s="121" t="str" cm="1">
        <f t="array" aca="1" ref="AD16" ca="1">IF(OR(Formulas!AE14=0,Formulas!AE14=""),"",HYPERLINK("["&amp;Archivo_Nombre&amp;"]Datos!"&amp;LEFT(SUBSTITUTE(ADDRESS(1,Formulas!AE14+2),"$",""))&amp;Formulas!AD14+1,
IFERROR(INDEX(Datos!$A$2:$K$102,Formulas!AD14,Formulas!AE14+2),"")))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21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IFERROR(INDEX(Datos!$A$2:$K$102,Formulas!AH13,RIGHT(Formulas!AJ13)+2),"")))</f>
        <v/>
      </c>
      <c r="AI16" s="121" t="str" cm="1">
        <f t="array" aca="1" ref="AI16" ca="1">IF(OR(Formulas!AJ14=0,Formulas!AJ14=""),"",HYPERLINK("["&amp;Archivo_Nombre&amp;"]Datos!"&amp;LEFT(SUBSTITUTE(ADDRESS(1,Formulas!AJ14+2),"$",""))&amp;Formulas!AI14+1,
IFERROR(INDEX(Datos!$A$2:$K$102,Formulas!AI14,Formulas!AJ14+2),"")))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21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IFERROR(INDEX(Datos!$A$2:$K$102,Formulas!AM13,RIGHT(Formulas!AO13)+2),"")))</f>
        <v/>
      </c>
      <c r="AN16" s="121" t="str" cm="1">
        <f t="array" aca="1" ref="AN16" ca="1">IF(OR(Formulas!AO14=0,Formulas!AO14=""),"",HYPERLINK("["&amp;Archivo_Nombre&amp;"]Datos!"&amp;LEFT(SUBSTITUTE(ADDRESS(1,Formulas!AO14+2),"$",""))&amp;Formulas!AN14+1,
IFERROR(INDEX(Datos!$A$2:$K$102,Formulas!AN14,Formulas!AO14+2),"")))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21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IFERROR(INDEX(Datos!$A$2:$K$102,Formulas!AR13,RIGHT(Formulas!AT13)+2),"")))</f>
        <v/>
      </c>
      <c r="AS16" s="121" t="str" cm="1">
        <f t="array" aca="1" ref="AS16" ca="1">IF(OR(Formulas!AT14=0,Formulas!AT14=""),"",HYPERLINK("["&amp;Archivo_Nombre&amp;"]Datos!"&amp;LEFT(SUBSTITUTE(ADDRESS(1,Formulas!AT14+2),"$",""))&amp;Formulas!AS14+1,
IFERROR(INDEX(Datos!$A$2:$K$102,Formulas!AS14,Formulas!AT14+2),"")))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21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IFERROR(INDEX(Datos!$A$2:$K$102,Formulas!AW13,RIGHT(Formulas!AY13)+2),"")))</f>
        <v/>
      </c>
      <c r="AX16" s="121" t="str" cm="1">
        <f t="array" aca="1" ref="AX16" ca="1">IF(OR(Formulas!AY14=0,Formulas!AY14=""),"",HYPERLINK("["&amp;Archivo_Nombre&amp;"]Datos!"&amp;LEFT(SUBSTITUTE(ADDRESS(1,Formulas!AY14+2),"$",""))&amp;Formulas!AX14+1,
IFERROR(INDEX(Datos!$A$2:$K$102,Formulas!AX14,Formulas!AY14+2),"")))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21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IFERROR(INDEX(Datos!$A$2:$K$102,Formulas!D14,RIGHT(Formulas!F14)+2),"")))</f>
        <v>45869</v>
      </c>
      <c r="E17" s="121" t="e" cm="1">
        <f t="array" aca="1" ref="E17" ca="1">IF(OR(Formulas!F15=0,Formulas!F15=""),"",HYPERLINK("["&amp;Archivo_Nombre&amp;"]Datos!"&amp;LEFT(SUBSTITUTE(ADDRESS(1,Formulas!F15+2),"$",""))&amp;Formulas!E15+1,
IFERROR(INDEX(Datos!$A$2:$K$102,Formulas!E15,Formulas!F15+2),"")))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21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IFERROR(INDEX(Datos!$A$2:$K$102,Formulas!I14,RIGHT(Formulas!K14)+2),"")))</f>
        <v>46037</v>
      </c>
      <c r="J17" s="121" t="e" cm="1">
        <f t="array" aca="1" ref="J17" ca="1">IF(OR(Formulas!K15=0,Formulas!K15=""),"",HYPERLINK("["&amp;Archivo_Nombre&amp;"]Datos!"&amp;LEFT(SUBSTITUTE(ADDRESS(1,Formulas!K15+2),"$",""))&amp;Formulas!J15+1,
IFERROR(INDEX(Datos!$A$2:$K$102,Formulas!J15,Formulas!K15+2),"")))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21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IFERROR(INDEX(Datos!$A$2:$K$102,Formulas!N14,RIGHT(Formulas!P14)+2),"")))</f>
        <v/>
      </c>
      <c r="O17" s="121" t="str" cm="1">
        <f t="array" aca="1" ref="O17" ca="1">IF(OR(Formulas!P15=0,Formulas!P15=""),"",HYPERLINK("["&amp;Archivo_Nombre&amp;"]Datos!"&amp;LEFT(SUBSTITUTE(ADDRESS(1,Formulas!P15+2),"$",""))&amp;Formulas!O15+1,
IFERROR(INDEX(Datos!$A$2:$K$102,Formulas!O15,Formulas!P15+2),"")))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21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IFERROR(INDEX(Datos!$A$2:$K$102,Formulas!S14,RIGHT(Formulas!U14)+2),"")))</f>
        <v>45994</v>
      </c>
      <c r="T17" s="121" t="e" cm="1">
        <f t="array" aca="1" ref="T17" ca="1">IF(OR(Formulas!U15=0,Formulas!U15=""),"",HYPERLINK("["&amp;Archivo_Nombre&amp;"]Datos!"&amp;LEFT(SUBSTITUTE(ADDRESS(1,Formulas!U15+2),"$",""))&amp;Formulas!T15+1,
IFERROR(INDEX(Datos!$A$2:$K$102,Formulas!T15,Formulas!U15+2),"")))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21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IFERROR(INDEX(Datos!$A$2:$K$102,Formulas!X14,RIGHT(Formulas!Z14)+2),"")))</f>
        <v/>
      </c>
      <c r="Y17" s="121" t="str" cm="1">
        <f t="array" aca="1" ref="Y17" ca="1">IF(OR(Formulas!Z15=0,Formulas!Z15=""),"",HYPERLINK("["&amp;Archivo_Nombre&amp;"]Datos!"&amp;LEFT(SUBSTITUTE(ADDRESS(1,Formulas!Z15+2),"$",""))&amp;Formulas!Y15+1,
IFERROR(INDEX(Datos!$A$2:$K$102,Formulas!Y15,Formulas!Z15+2),"")))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21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IFERROR(INDEX(Datos!$A$2:$K$102,Formulas!AC14,RIGHT(Formulas!AE14)+2),"")))</f>
        <v/>
      </c>
      <c r="AD17" s="121" t="str" cm="1">
        <f t="array" aca="1" ref="AD17" ca="1">IF(OR(Formulas!AE15=0,Formulas!AE15=""),"",HYPERLINK("["&amp;Archivo_Nombre&amp;"]Datos!"&amp;LEFT(SUBSTITUTE(ADDRESS(1,Formulas!AE15+2),"$",""))&amp;Formulas!AD15+1,
IFERROR(INDEX(Datos!$A$2:$K$102,Formulas!AD15,Formulas!AE15+2),"")))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21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IFERROR(INDEX(Datos!$A$2:$K$102,Formulas!AH14,RIGHT(Formulas!AJ14)+2),"")))</f>
        <v/>
      </c>
      <c r="AI17" s="121" t="str" cm="1">
        <f t="array" aca="1" ref="AI17" ca="1">IF(OR(Formulas!AJ15=0,Formulas!AJ15=""),"",HYPERLINK("["&amp;Archivo_Nombre&amp;"]Datos!"&amp;LEFT(SUBSTITUTE(ADDRESS(1,Formulas!AJ15+2),"$",""))&amp;Formulas!AI15+1,
IFERROR(INDEX(Datos!$A$2:$K$102,Formulas!AI15,Formulas!AJ15+2),"")))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21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IFERROR(INDEX(Datos!$A$2:$K$102,Formulas!AM14,RIGHT(Formulas!AO14)+2),"")))</f>
        <v/>
      </c>
      <c r="AN17" s="121" t="str" cm="1">
        <f t="array" aca="1" ref="AN17" ca="1">IF(OR(Formulas!AO15=0,Formulas!AO15=""),"",HYPERLINK("["&amp;Archivo_Nombre&amp;"]Datos!"&amp;LEFT(SUBSTITUTE(ADDRESS(1,Formulas!AO15+2),"$",""))&amp;Formulas!AN15+1,
IFERROR(INDEX(Datos!$A$2:$K$102,Formulas!AN15,Formulas!AO15+2),"")))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21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IFERROR(INDEX(Datos!$A$2:$K$102,Formulas!AR14,RIGHT(Formulas!AT14)+2),"")))</f>
        <v/>
      </c>
      <c r="AS17" s="121" t="str" cm="1">
        <f t="array" aca="1" ref="AS17" ca="1">IF(OR(Formulas!AT15=0,Formulas!AT15=""),"",HYPERLINK("["&amp;Archivo_Nombre&amp;"]Datos!"&amp;LEFT(SUBSTITUTE(ADDRESS(1,Formulas!AT15+2),"$",""))&amp;Formulas!AS15+1,
IFERROR(INDEX(Datos!$A$2:$K$102,Formulas!AS15,Formulas!AT15+2),"")))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21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IFERROR(INDEX(Datos!$A$2:$K$102,Formulas!AW14,RIGHT(Formulas!AY14)+2),"")))</f>
        <v/>
      </c>
      <c r="AX17" s="121" t="str" cm="1">
        <f t="array" aca="1" ref="AX17" ca="1">IF(OR(Formulas!AY15=0,Formulas!AY15=""),"",HYPERLINK("["&amp;Archivo_Nombre&amp;"]Datos!"&amp;LEFT(SUBSTITUTE(ADDRESS(1,Formulas!AY15+2),"$",""))&amp;Formulas!AX15+1,
IFERROR(INDEX(Datos!$A$2:$K$102,Formulas!AX15,Formulas!AY15+2),"")))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21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IFERROR(INDEX(Datos!$A$2:$K$102,Formulas!D15,RIGHT(Formulas!F15)+2),"")))</f>
        <v>45869</v>
      </c>
      <c r="E18" s="121" t="e" cm="1">
        <f t="array" aca="1" ref="E18" ca="1">IF(OR(Formulas!F16=0,Formulas!F16=""),"",HYPERLINK("["&amp;Archivo_Nombre&amp;"]Datos!"&amp;LEFT(SUBSTITUTE(ADDRESS(1,Formulas!F16+2),"$",""))&amp;Formulas!E16+1,
IFERROR(INDEX(Datos!$A$2:$K$102,Formulas!E16,Formulas!F16+2),"")))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21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IFERROR(INDEX(Datos!$A$2:$K$102,Formulas!I15,RIGHT(Formulas!K15)+2),"")))</f>
        <v>46050</v>
      </c>
      <c r="J18" s="121" t="e" cm="1">
        <f t="array" aca="1" ref="J18" ca="1">IF(OR(Formulas!K16=0,Formulas!K16=""),"",HYPERLINK("["&amp;Archivo_Nombre&amp;"]Datos!"&amp;LEFT(SUBSTITUTE(ADDRESS(1,Formulas!K16+2),"$",""))&amp;Formulas!J16+1,
IFERROR(INDEX(Datos!$A$2:$K$102,Formulas!J16,Formulas!K16+2),"")))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21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IFERROR(INDEX(Datos!$A$2:$K$102,Formulas!N15,RIGHT(Formulas!P15)+2),"")))</f>
        <v/>
      </c>
      <c r="O18" s="121" t="str" cm="1">
        <f t="array" aca="1" ref="O18" ca="1">IF(OR(Formulas!P16=0,Formulas!P16=""),"",HYPERLINK("["&amp;Archivo_Nombre&amp;"]Datos!"&amp;LEFT(SUBSTITUTE(ADDRESS(1,Formulas!P16+2),"$",""))&amp;Formulas!O16+1,
IFERROR(INDEX(Datos!$A$2:$K$102,Formulas!O16,Formulas!P16+2),"")))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21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IFERROR(INDEX(Datos!$A$2:$K$102,Formulas!S15,RIGHT(Formulas!U15)+2),"")))</f>
        <v>46001</v>
      </c>
      <c r="T18" s="121" t="e" cm="1">
        <f t="array" aca="1" ref="T18" ca="1">IF(OR(Formulas!U16=0,Formulas!U16=""),"",HYPERLINK("["&amp;Archivo_Nombre&amp;"]Datos!"&amp;LEFT(SUBSTITUTE(ADDRESS(1,Formulas!U16+2),"$",""))&amp;Formulas!T16+1,
IFERROR(INDEX(Datos!$A$2:$K$102,Formulas!T16,Formulas!U16+2),"")))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21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IFERROR(INDEX(Datos!$A$2:$K$102,Formulas!X15,RIGHT(Formulas!Z15)+2),"")))</f>
        <v/>
      </c>
      <c r="Y18" s="121" t="str" cm="1">
        <f t="array" aca="1" ref="Y18" ca="1">IF(OR(Formulas!Z16=0,Formulas!Z16=""),"",HYPERLINK("["&amp;Archivo_Nombre&amp;"]Datos!"&amp;LEFT(SUBSTITUTE(ADDRESS(1,Formulas!Z16+2),"$",""))&amp;Formulas!Y16+1,
IFERROR(INDEX(Datos!$A$2:$K$102,Formulas!Y16,Formulas!Z16+2),"")))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21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IFERROR(INDEX(Datos!$A$2:$K$102,Formulas!AC15,RIGHT(Formulas!AE15)+2),"")))</f>
        <v/>
      </c>
      <c r="AD18" s="121" t="str" cm="1">
        <f t="array" aca="1" ref="AD18" ca="1">IF(OR(Formulas!AE16=0,Formulas!AE16=""),"",HYPERLINK("["&amp;Archivo_Nombre&amp;"]Datos!"&amp;LEFT(SUBSTITUTE(ADDRESS(1,Formulas!AE16+2),"$",""))&amp;Formulas!AD16+1,
IFERROR(INDEX(Datos!$A$2:$K$102,Formulas!AD16,Formulas!AE16+2),"")))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21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IFERROR(INDEX(Datos!$A$2:$K$102,Formulas!AH15,RIGHT(Formulas!AJ15)+2),"")))</f>
        <v/>
      </c>
      <c r="AI18" s="121" t="str" cm="1">
        <f t="array" aca="1" ref="AI18" ca="1">IF(OR(Formulas!AJ16=0,Formulas!AJ16=""),"",HYPERLINK("["&amp;Archivo_Nombre&amp;"]Datos!"&amp;LEFT(SUBSTITUTE(ADDRESS(1,Formulas!AJ16+2),"$",""))&amp;Formulas!AI16+1,
IFERROR(INDEX(Datos!$A$2:$K$102,Formulas!AI16,Formulas!AJ16+2),"")))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21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IFERROR(INDEX(Datos!$A$2:$K$102,Formulas!AM15,RIGHT(Formulas!AO15)+2),"")))</f>
        <v/>
      </c>
      <c r="AN18" s="121" t="str" cm="1">
        <f t="array" aca="1" ref="AN18" ca="1">IF(OR(Formulas!AO16=0,Formulas!AO16=""),"",HYPERLINK("["&amp;Archivo_Nombre&amp;"]Datos!"&amp;LEFT(SUBSTITUTE(ADDRESS(1,Formulas!AO16+2),"$",""))&amp;Formulas!AN16+1,
IFERROR(INDEX(Datos!$A$2:$K$102,Formulas!AN16,Formulas!AO16+2),"")))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21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IFERROR(INDEX(Datos!$A$2:$K$102,Formulas!AR15,RIGHT(Formulas!AT15)+2),"")))</f>
        <v/>
      </c>
      <c r="AS18" s="121" t="str" cm="1">
        <f t="array" aca="1" ref="AS18" ca="1">IF(OR(Formulas!AT16=0,Formulas!AT16=""),"",HYPERLINK("["&amp;Archivo_Nombre&amp;"]Datos!"&amp;LEFT(SUBSTITUTE(ADDRESS(1,Formulas!AT16+2),"$",""))&amp;Formulas!AS16+1,
IFERROR(INDEX(Datos!$A$2:$K$102,Formulas!AS16,Formulas!AT16+2),"")))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21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IFERROR(INDEX(Datos!$A$2:$K$102,Formulas!AW15,RIGHT(Formulas!AY15)+2),"")))</f>
        <v/>
      </c>
      <c r="AX18" s="121" t="str" cm="1">
        <f t="array" aca="1" ref="AX18" ca="1">IF(OR(Formulas!AY16=0,Formulas!AY16=""),"",HYPERLINK("["&amp;Archivo_Nombre&amp;"]Datos!"&amp;LEFT(SUBSTITUTE(ADDRESS(1,Formulas!AY16+2),"$",""))&amp;Formulas!AX16+1,
IFERROR(INDEX(Datos!$A$2:$K$102,Formulas!AX16,Formulas!AY16+2),"")))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21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IFERROR(INDEX(Datos!$A$2:$K$102,Formulas!D16,RIGHT(Formulas!F16)+2),"")))</f>
        <v>45869</v>
      </c>
      <c r="E19" s="121" t="e" cm="1">
        <f t="array" aca="1" ref="E19" ca="1">IF(OR(Formulas!F17=0,Formulas!F17=""),"",HYPERLINK("["&amp;Archivo_Nombre&amp;"]Datos!"&amp;LEFT(SUBSTITUTE(ADDRESS(1,Formulas!F17+2),"$",""))&amp;Formulas!E17+1,
IFERROR(INDEX(Datos!$A$2:$K$102,Formulas!E17,Formulas!F17+2),"")))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21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IFERROR(INDEX(Datos!$A$2:$K$102,Formulas!I16,RIGHT(Formulas!K16)+2),"")))</f>
        <v>46043</v>
      </c>
      <c r="J19" s="121" t="e" cm="1">
        <f t="array" aca="1" ref="J19" ca="1">IF(OR(Formulas!K17=0,Formulas!K17=""),"",HYPERLINK("["&amp;Archivo_Nombre&amp;"]Datos!"&amp;LEFT(SUBSTITUTE(ADDRESS(1,Formulas!K17+2),"$",""))&amp;Formulas!J17+1,
IFERROR(INDEX(Datos!$A$2:$K$102,Formulas!J17,Formulas!K17+2),"")))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21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IFERROR(INDEX(Datos!$A$2:$K$102,Formulas!N16,RIGHT(Formulas!P16)+2),"")))</f>
        <v/>
      </c>
      <c r="O19" s="121" t="str" cm="1">
        <f t="array" aca="1" ref="O19" ca="1">IF(OR(Formulas!P17=0,Formulas!P17=""),"",HYPERLINK("["&amp;Archivo_Nombre&amp;"]Datos!"&amp;LEFT(SUBSTITUTE(ADDRESS(1,Formulas!P17+2),"$",""))&amp;Formulas!O17+1,
IFERROR(INDEX(Datos!$A$2:$K$102,Formulas!O17,Formulas!P17+2),"")))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21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IFERROR(INDEX(Datos!$A$2:$K$102,Formulas!S16,RIGHT(Formulas!U16)+2),"")))</f>
        <v>45999</v>
      </c>
      <c r="T19" s="121" t="e" cm="1">
        <f t="array" aca="1" ref="T19" ca="1">IF(OR(Formulas!U17=0,Formulas!U17=""),"",HYPERLINK("["&amp;Archivo_Nombre&amp;"]Datos!"&amp;LEFT(SUBSTITUTE(ADDRESS(1,Formulas!U17+2),"$",""))&amp;Formulas!T17+1,
IFERROR(INDEX(Datos!$A$2:$K$102,Formulas!T17,Formulas!U17+2),"")))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21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IFERROR(INDEX(Datos!$A$2:$K$102,Formulas!X16,RIGHT(Formulas!Z16)+2),"")))</f>
        <v/>
      </c>
      <c r="Y19" s="121" t="str" cm="1">
        <f t="array" aca="1" ref="Y19" ca="1">IF(OR(Formulas!Z17=0,Formulas!Z17=""),"",HYPERLINK("["&amp;Archivo_Nombre&amp;"]Datos!"&amp;LEFT(SUBSTITUTE(ADDRESS(1,Formulas!Z17+2),"$",""))&amp;Formulas!Y17+1,
IFERROR(INDEX(Datos!$A$2:$K$102,Formulas!Y17,Formulas!Z17+2),"")))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21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IFERROR(INDEX(Datos!$A$2:$K$102,Formulas!AC16,RIGHT(Formulas!AE16)+2),"")))</f>
        <v/>
      </c>
      <c r="AD19" s="121" t="str" cm="1">
        <f t="array" aca="1" ref="AD19" ca="1">IF(OR(Formulas!AE17=0,Formulas!AE17=""),"",HYPERLINK("["&amp;Archivo_Nombre&amp;"]Datos!"&amp;LEFT(SUBSTITUTE(ADDRESS(1,Formulas!AE17+2),"$",""))&amp;Formulas!AD17+1,
IFERROR(INDEX(Datos!$A$2:$K$102,Formulas!AD17,Formulas!AE17+2),"")))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21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IFERROR(INDEX(Datos!$A$2:$K$102,Formulas!AH16,RIGHT(Formulas!AJ16)+2),"")))</f>
        <v/>
      </c>
      <c r="AI19" s="121" t="str" cm="1">
        <f t="array" aca="1" ref="AI19" ca="1">IF(OR(Formulas!AJ17=0,Formulas!AJ17=""),"",HYPERLINK("["&amp;Archivo_Nombre&amp;"]Datos!"&amp;LEFT(SUBSTITUTE(ADDRESS(1,Formulas!AJ17+2),"$",""))&amp;Formulas!AI17+1,
IFERROR(INDEX(Datos!$A$2:$K$102,Formulas!AI17,Formulas!AJ17+2),"")))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21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IFERROR(INDEX(Datos!$A$2:$K$102,Formulas!AM16,RIGHT(Formulas!AO16)+2),"")))</f>
        <v/>
      </c>
      <c r="AN19" s="121" t="str" cm="1">
        <f t="array" aca="1" ref="AN19" ca="1">IF(OR(Formulas!AO17=0,Formulas!AO17=""),"",HYPERLINK("["&amp;Archivo_Nombre&amp;"]Datos!"&amp;LEFT(SUBSTITUTE(ADDRESS(1,Formulas!AO17+2),"$",""))&amp;Formulas!AN17+1,
IFERROR(INDEX(Datos!$A$2:$K$102,Formulas!AN17,Formulas!AO17+2),"")))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21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IFERROR(INDEX(Datos!$A$2:$K$102,Formulas!AR16,RIGHT(Formulas!AT16)+2),"")))</f>
        <v/>
      </c>
      <c r="AS19" s="121" t="str" cm="1">
        <f t="array" aca="1" ref="AS19" ca="1">IF(OR(Formulas!AT17=0,Formulas!AT17=""),"",HYPERLINK("["&amp;Archivo_Nombre&amp;"]Datos!"&amp;LEFT(SUBSTITUTE(ADDRESS(1,Formulas!AT17+2),"$",""))&amp;Formulas!AS17+1,
IFERROR(INDEX(Datos!$A$2:$K$102,Formulas!AS17,Formulas!AT17+2),"")))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21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IFERROR(INDEX(Datos!$A$2:$K$102,Formulas!AW16,RIGHT(Formulas!AY16)+2),"")))</f>
        <v/>
      </c>
      <c r="AX19" s="121" t="str" cm="1">
        <f t="array" aca="1" ref="AX19" ca="1">IF(OR(Formulas!AY17=0,Formulas!AY17=""),"",HYPERLINK("["&amp;Archivo_Nombre&amp;"]Datos!"&amp;LEFT(SUBSTITUTE(ADDRESS(1,Formulas!AY17+2),"$",""))&amp;Formulas!AX17+1,
IFERROR(INDEX(Datos!$A$2:$K$102,Formulas!AX17,Formulas!AY17+2),"")))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21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IFERROR(INDEX(Datos!$A$2:$K$102,Formulas!D17,RIGHT(Formulas!F17)+2),"")))</f>
        <v>1 días</v>
      </c>
      <c r="E20" s="121" t="e" cm="1">
        <f t="array" aca="1" ref="E20" ca="1">IF(OR(Formulas!F18=0,Formulas!F18=""),"",HYPERLINK("["&amp;Archivo_Nombre&amp;"]Datos!"&amp;LEFT(SUBSTITUTE(ADDRESS(1,Formulas!F18+2),"$",""))&amp;Formulas!E18+1,
IFERROR(INDEX(Datos!$A$2:$K$102,Formulas!E18,Formulas!F18+2),"")))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21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IFERROR(INDEX(Datos!$A$2:$K$102,Formulas!I17,RIGHT(Formulas!K17)+2),"")))</f>
        <v>7 días</v>
      </c>
      <c r="J20" s="121" t="e" cm="1">
        <f t="array" aca="1" ref="J20" ca="1">IF(OR(Formulas!K18=0,Formulas!K18=""),"",HYPERLINK("["&amp;Archivo_Nombre&amp;"]Datos!"&amp;LEFT(SUBSTITUTE(ADDRESS(1,Formulas!K18+2),"$",""))&amp;Formulas!J18+1,
IFERROR(INDEX(Datos!$A$2:$K$102,Formulas!J18,Formulas!K18+2),"")))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21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IFERROR(INDEX(Datos!$A$2:$K$102,Formulas!N17,RIGHT(Formulas!P17)+2),"")))</f>
        <v/>
      </c>
      <c r="O20" s="121" t="str" cm="1">
        <f t="array" aca="1" ref="O20" ca="1">IF(OR(Formulas!P18=0,Formulas!P18=""),"",HYPERLINK("["&amp;Archivo_Nombre&amp;"]Datos!"&amp;LEFT(SUBSTITUTE(ADDRESS(1,Formulas!P18+2),"$",""))&amp;Formulas!O18+1,
IFERROR(INDEX(Datos!$A$2:$K$102,Formulas!O18,Formulas!P18+2),"")))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21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IFERROR(INDEX(Datos!$A$2:$K$102,Formulas!S17,RIGHT(Formulas!U17)+2),"")))</f>
        <v>6 días</v>
      </c>
      <c r="T20" s="121" t="e" cm="1">
        <f t="array" aca="1" ref="T20" ca="1">IF(OR(Formulas!U18=0,Formulas!U18=""),"",HYPERLINK("["&amp;Archivo_Nombre&amp;"]Datos!"&amp;LEFT(SUBSTITUTE(ADDRESS(1,Formulas!U18+2),"$",""))&amp;Formulas!T18+1,
IFERROR(INDEX(Datos!$A$2:$K$102,Formulas!T18,Formulas!U18+2),"")))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21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IFERROR(INDEX(Datos!$A$2:$K$102,Formulas!X17,RIGHT(Formulas!Z17)+2),"")))</f>
        <v/>
      </c>
      <c r="Y20" s="121" t="str" cm="1">
        <f t="array" aca="1" ref="Y20" ca="1">IF(OR(Formulas!Z18=0,Formulas!Z18=""),"",HYPERLINK("["&amp;Archivo_Nombre&amp;"]Datos!"&amp;LEFT(SUBSTITUTE(ADDRESS(1,Formulas!Z18+2),"$",""))&amp;Formulas!Y18+1,
IFERROR(INDEX(Datos!$A$2:$K$102,Formulas!Y18,Formulas!Z18+2),"")))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21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IFERROR(INDEX(Datos!$A$2:$K$102,Formulas!AC17,RIGHT(Formulas!AE17)+2),"")))</f>
        <v/>
      </c>
      <c r="AD20" s="121" t="str" cm="1">
        <f t="array" aca="1" ref="AD20" ca="1">IF(OR(Formulas!AE18=0,Formulas!AE18=""),"",HYPERLINK("["&amp;Archivo_Nombre&amp;"]Datos!"&amp;LEFT(SUBSTITUTE(ADDRESS(1,Formulas!AE18+2),"$",""))&amp;Formulas!AD18+1,
IFERROR(INDEX(Datos!$A$2:$K$102,Formulas!AD18,Formulas!AE18+2),"")))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21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IFERROR(INDEX(Datos!$A$2:$K$102,Formulas!AH17,RIGHT(Formulas!AJ17)+2),"")))</f>
        <v/>
      </c>
      <c r="AI20" s="121" t="str" cm="1">
        <f t="array" aca="1" ref="AI20" ca="1">IF(OR(Formulas!AJ18=0,Formulas!AJ18=""),"",HYPERLINK("["&amp;Archivo_Nombre&amp;"]Datos!"&amp;LEFT(SUBSTITUTE(ADDRESS(1,Formulas!AJ18+2),"$",""))&amp;Formulas!AI18+1,
IFERROR(INDEX(Datos!$A$2:$K$102,Formulas!AI18,Formulas!AJ18+2),"")))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21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IFERROR(INDEX(Datos!$A$2:$K$102,Formulas!AM17,RIGHT(Formulas!AO17)+2),"")))</f>
        <v/>
      </c>
      <c r="AN20" s="121" t="str" cm="1">
        <f t="array" aca="1" ref="AN20" ca="1">IF(OR(Formulas!AO18=0,Formulas!AO18=""),"",HYPERLINK("["&amp;Archivo_Nombre&amp;"]Datos!"&amp;LEFT(SUBSTITUTE(ADDRESS(1,Formulas!AO18+2),"$",""))&amp;Formulas!AN18+1,
IFERROR(INDEX(Datos!$A$2:$K$102,Formulas!AN18,Formulas!AO18+2),"")))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21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IFERROR(INDEX(Datos!$A$2:$K$102,Formulas!AR17,RIGHT(Formulas!AT17)+2),"")))</f>
        <v/>
      </c>
      <c r="AS20" s="121" t="str" cm="1">
        <f t="array" aca="1" ref="AS20" ca="1">IF(OR(Formulas!AT18=0,Formulas!AT18=""),"",HYPERLINK("["&amp;Archivo_Nombre&amp;"]Datos!"&amp;LEFT(SUBSTITUTE(ADDRESS(1,Formulas!AT18+2),"$",""))&amp;Formulas!AS18+1,
IFERROR(INDEX(Datos!$A$2:$K$102,Formulas!AS18,Formulas!AT18+2),"")))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21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IFERROR(INDEX(Datos!$A$2:$K$102,Formulas!AW17,RIGHT(Formulas!AY17)+2),"")))</f>
        <v/>
      </c>
      <c r="AX20" s="121" t="str" cm="1">
        <f t="array" aca="1" ref="AX20" ca="1">IF(OR(Formulas!AY18=0,Formulas!AY18=""),"",HYPERLINK("["&amp;Archivo_Nombre&amp;"]Datos!"&amp;LEFT(SUBSTITUTE(ADDRESS(1,Formulas!AY18+2),"$",""))&amp;Formulas!AX18+1,
IFERROR(INDEX(Datos!$A$2:$K$102,Formulas!AX18,Formulas!AY18+2),"")))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21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IFERROR(INDEX(Datos!$A$2:$K$102,Formulas!D18,RIGHT(Formulas!F18)+2),"")))</f>
        <v>0 días</v>
      </c>
      <c r="E21" s="121" t="e" cm="1">
        <f t="array" aca="1" ref="E21" ca="1">IF(OR(Formulas!F19=0,Formulas!F19=""),"",HYPERLINK("["&amp;Archivo_Nombre&amp;"]Datos!"&amp;LEFT(SUBSTITUTE(ADDRESS(1,Formulas!F19+2),"$",""))&amp;Formulas!E19+1,
IFERROR(INDEX(Datos!$A$2:$K$102,Formulas!E19,Formulas!F19+2),"")))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21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IFERROR(INDEX(Datos!$A$2:$K$102,Formulas!I18,RIGHT(Formulas!K18)+2),"")))</f>
        <v>0 días</v>
      </c>
      <c r="J21" s="121" t="e" cm="1">
        <f t="array" aca="1" ref="J21" ca="1">IF(OR(Formulas!K19=0,Formulas!K19=""),"",HYPERLINK("["&amp;Archivo_Nombre&amp;"]Datos!"&amp;LEFT(SUBSTITUTE(ADDRESS(1,Formulas!K19+2),"$",""))&amp;Formulas!J19+1,
IFERROR(INDEX(Datos!$A$2:$K$102,Formulas!J19,Formulas!K19+2),"")))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21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IFERROR(INDEX(Datos!$A$2:$K$102,Formulas!N18,RIGHT(Formulas!P18)+2),"")))</f>
        <v/>
      </c>
      <c r="O21" s="121" t="str" cm="1">
        <f t="array" aca="1" ref="O21" ca="1">IF(OR(Formulas!P19=0,Formulas!P19=""),"",HYPERLINK("["&amp;Archivo_Nombre&amp;"]Datos!"&amp;LEFT(SUBSTITUTE(ADDRESS(1,Formulas!P19+2),"$",""))&amp;Formulas!O19+1,
IFERROR(INDEX(Datos!$A$2:$K$102,Formulas!O19,Formulas!P19+2),"")))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21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IFERROR(INDEX(Datos!$A$2:$K$102,Formulas!S18,RIGHT(Formulas!U18)+2),"")))</f>
        <v>0 días</v>
      </c>
      <c r="T21" s="121" t="e" cm="1">
        <f t="array" aca="1" ref="T21" ca="1">IF(OR(Formulas!U19=0,Formulas!U19=""),"",HYPERLINK("["&amp;Archivo_Nombre&amp;"]Datos!"&amp;LEFT(SUBSTITUTE(ADDRESS(1,Formulas!U19+2),"$",""))&amp;Formulas!T19+1,
IFERROR(INDEX(Datos!$A$2:$K$102,Formulas!T19,Formulas!U19+2),"")))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21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IFERROR(INDEX(Datos!$A$2:$K$102,Formulas!X18,RIGHT(Formulas!Z18)+2),"")))</f>
        <v/>
      </c>
      <c r="Y21" s="121" t="str" cm="1">
        <f t="array" aca="1" ref="Y21" ca="1">IF(OR(Formulas!Z19=0,Formulas!Z19=""),"",HYPERLINK("["&amp;Archivo_Nombre&amp;"]Datos!"&amp;LEFT(SUBSTITUTE(ADDRESS(1,Formulas!Z19+2),"$",""))&amp;Formulas!Y19+1,
IFERROR(INDEX(Datos!$A$2:$K$102,Formulas!Y19,Formulas!Z19+2),"")))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21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IFERROR(INDEX(Datos!$A$2:$K$102,Formulas!AC18,RIGHT(Formulas!AE18)+2),"")))</f>
        <v/>
      </c>
      <c r="AD21" s="121" t="str" cm="1">
        <f t="array" aca="1" ref="AD21" ca="1">IF(OR(Formulas!AE19=0,Formulas!AE19=""),"",HYPERLINK("["&amp;Archivo_Nombre&amp;"]Datos!"&amp;LEFT(SUBSTITUTE(ADDRESS(1,Formulas!AE19+2),"$",""))&amp;Formulas!AD19+1,
IFERROR(INDEX(Datos!$A$2:$K$102,Formulas!AD19,Formulas!AE19+2),"")))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21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IFERROR(INDEX(Datos!$A$2:$K$102,Formulas!AH18,RIGHT(Formulas!AJ18)+2),"")))</f>
        <v/>
      </c>
      <c r="AI21" s="121" t="str" cm="1">
        <f t="array" aca="1" ref="AI21" ca="1">IF(OR(Formulas!AJ19=0,Formulas!AJ19=""),"",HYPERLINK("["&amp;Archivo_Nombre&amp;"]Datos!"&amp;LEFT(SUBSTITUTE(ADDRESS(1,Formulas!AJ19+2),"$",""))&amp;Formulas!AI19+1,
IFERROR(INDEX(Datos!$A$2:$K$102,Formulas!AI19,Formulas!AJ19+2),"")))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21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IFERROR(INDEX(Datos!$A$2:$K$102,Formulas!AM18,RIGHT(Formulas!AO18)+2),"")))</f>
        <v/>
      </c>
      <c r="AN21" s="121" t="str" cm="1">
        <f t="array" aca="1" ref="AN21" ca="1">IF(OR(Formulas!AO19=0,Formulas!AO19=""),"",HYPERLINK("["&amp;Archivo_Nombre&amp;"]Datos!"&amp;LEFT(SUBSTITUTE(ADDRESS(1,Formulas!AO19+2),"$",""))&amp;Formulas!AN19+1,
IFERROR(INDEX(Datos!$A$2:$K$102,Formulas!AN19,Formulas!AO19+2),"")))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21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IFERROR(INDEX(Datos!$A$2:$K$102,Formulas!AR18,RIGHT(Formulas!AT18)+2),"")))</f>
        <v/>
      </c>
      <c r="AS21" s="121" t="str" cm="1">
        <f t="array" aca="1" ref="AS21" ca="1">IF(OR(Formulas!AT19=0,Formulas!AT19=""),"",HYPERLINK("["&amp;Archivo_Nombre&amp;"]Datos!"&amp;LEFT(SUBSTITUTE(ADDRESS(1,Formulas!AT19+2),"$",""))&amp;Formulas!AS19+1,
IFERROR(INDEX(Datos!$A$2:$K$102,Formulas!AS19,Formulas!AT19+2),"")))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21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IFERROR(INDEX(Datos!$A$2:$K$102,Formulas!AW18,RIGHT(Formulas!AY18)+2),"")))</f>
        <v/>
      </c>
      <c r="AX21" s="121" t="str" cm="1">
        <f t="array" aca="1" ref="AX21" ca="1">IF(OR(Formulas!AY19=0,Formulas!AY19=""),"",HYPERLINK("["&amp;Archivo_Nombre&amp;"]Datos!"&amp;LEFT(SUBSTITUTE(ADDRESS(1,Formulas!AY19+2),"$",""))&amp;Formulas!AX19+1,
IFERROR(INDEX(Datos!$A$2:$K$102,Formulas!AX19,Formulas!AY19+2),"")))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21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IFERROR(INDEX(Datos!$A$2:$K$102,Formulas!D19,RIGHT(Formulas!F19)+2),"")))</f>
        <v>Kevin Andino</v>
      </c>
      <c r="E22" s="121" t="str" cm="1">
        <f t="array" aca="1" ref="E22" ca="1">IF(OR(Formulas!F20=0,Formulas!F20=""),"",HYPERLINK("["&amp;Archivo_Nombre&amp;"]Datos!"&amp;LEFT(SUBSTITUTE(ADDRESS(1,Formulas!F20+2),"$",""))&amp;Formulas!E20+1,
IFERROR(INDEX(Datos!$A$2:$K$102,Formulas!E20,Formulas!F20+2),"")))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21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IFERROR(INDEX(Datos!$A$2:$K$102,Formulas!I19,RIGHT(Formulas!K19)+2),"")))</f>
        <v>Madellyn Tasipanta</v>
      </c>
      <c r="J22" s="121" t="str" cm="1">
        <f t="array" aca="1" ref="J22" ca="1">IF(OR(Formulas!K20=0,Formulas!K20=""),"",HYPERLINK("["&amp;Archivo_Nombre&amp;"]Datos!"&amp;LEFT(SUBSTITUTE(ADDRESS(1,Formulas!K20+2),"$",""))&amp;Formulas!J20+1,
IFERROR(INDEX(Datos!$A$2:$K$102,Formulas!J20,Formulas!K20+2),"")))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21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IFERROR(INDEX(Datos!$A$2:$K$102,Formulas!N19,RIGHT(Formulas!P19)+2),"")))</f>
        <v/>
      </c>
      <c r="O22" s="121" t="str" cm="1">
        <f t="array" aca="1" ref="O22" ca="1">IF(OR(Formulas!P20=0,Formulas!P20=""),"",HYPERLINK("["&amp;Archivo_Nombre&amp;"]Datos!"&amp;LEFT(SUBSTITUTE(ADDRESS(1,Formulas!P20+2),"$",""))&amp;Formulas!O20+1,
IFERROR(INDEX(Datos!$A$2:$K$102,Formulas!O20,Formulas!P20+2),"")))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21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IFERROR(INDEX(Datos!$A$2:$K$102,Formulas!S19,RIGHT(Formulas!U19)+2),"")))</f>
        <v>Madellyn Tasipanta</v>
      </c>
      <c r="T22" s="121" t="str" cm="1">
        <f t="array" aca="1" ref="T22" ca="1">IF(OR(Formulas!U20=0,Formulas!U20=""),"",HYPERLINK("["&amp;Archivo_Nombre&amp;"]Datos!"&amp;LEFT(SUBSTITUTE(ADDRESS(1,Formulas!U20+2),"$",""))&amp;Formulas!T20+1,
IFERROR(INDEX(Datos!$A$2:$K$102,Formulas!T20,Formulas!U20+2),"")))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21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IFERROR(INDEX(Datos!$A$2:$K$102,Formulas!X19,RIGHT(Formulas!Z19)+2),"")))</f>
        <v/>
      </c>
      <c r="Y22" s="121" t="str" cm="1">
        <f t="array" aca="1" ref="Y22" ca="1">IF(OR(Formulas!Z20=0,Formulas!Z20=""),"",HYPERLINK("["&amp;Archivo_Nombre&amp;"]Datos!"&amp;LEFT(SUBSTITUTE(ADDRESS(1,Formulas!Z20+2),"$",""))&amp;Formulas!Y20+1,
IFERROR(INDEX(Datos!$A$2:$K$102,Formulas!Y20,Formulas!Z20+2),"")))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21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IFERROR(INDEX(Datos!$A$2:$K$102,Formulas!AC19,RIGHT(Formulas!AE19)+2),"")))</f>
        <v/>
      </c>
      <c r="AD22" s="121" t="str" cm="1">
        <f t="array" aca="1" ref="AD22" ca="1">IF(OR(Formulas!AE20=0,Formulas!AE20=""),"",HYPERLINK("["&amp;Archivo_Nombre&amp;"]Datos!"&amp;LEFT(SUBSTITUTE(ADDRESS(1,Formulas!AE20+2),"$",""))&amp;Formulas!AD20+1,
IFERROR(INDEX(Datos!$A$2:$K$102,Formulas!AD20,Formulas!AE20+2),"")))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21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IFERROR(INDEX(Datos!$A$2:$K$102,Formulas!AH19,RIGHT(Formulas!AJ19)+2),"")))</f>
        <v/>
      </c>
      <c r="AI22" s="121" t="str" cm="1">
        <f t="array" aca="1" ref="AI22" ca="1">IF(OR(Formulas!AJ20=0,Formulas!AJ20=""),"",HYPERLINK("["&amp;Archivo_Nombre&amp;"]Datos!"&amp;LEFT(SUBSTITUTE(ADDRESS(1,Formulas!AJ20+2),"$",""))&amp;Formulas!AI20+1,
IFERROR(INDEX(Datos!$A$2:$K$102,Formulas!AI20,Formulas!AJ20+2),"")))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21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IFERROR(INDEX(Datos!$A$2:$K$102,Formulas!AM19,RIGHT(Formulas!AO19)+2),"")))</f>
        <v/>
      </c>
      <c r="AN22" s="121" t="str" cm="1">
        <f t="array" aca="1" ref="AN22" ca="1">IF(OR(Formulas!AO20=0,Formulas!AO20=""),"",HYPERLINK("["&amp;Archivo_Nombre&amp;"]Datos!"&amp;LEFT(SUBSTITUTE(ADDRESS(1,Formulas!AO20+2),"$",""))&amp;Formulas!AN20+1,
IFERROR(INDEX(Datos!$A$2:$K$102,Formulas!AN20,Formulas!AO20+2),"")))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21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IFERROR(INDEX(Datos!$A$2:$K$102,Formulas!AR19,RIGHT(Formulas!AT19)+2),"")))</f>
        <v/>
      </c>
      <c r="AS22" s="121" t="str" cm="1">
        <f t="array" aca="1" ref="AS22" ca="1">IF(OR(Formulas!AT20=0,Formulas!AT20=""),"",HYPERLINK("["&amp;Archivo_Nombre&amp;"]Datos!"&amp;LEFT(SUBSTITUTE(ADDRESS(1,Formulas!AT20+2),"$",""))&amp;Formulas!AS20+1,
IFERROR(INDEX(Datos!$A$2:$K$102,Formulas!AS20,Formulas!AT20+2),"")))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21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IFERROR(INDEX(Datos!$A$2:$K$102,Formulas!AW19,RIGHT(Formulas!AY19)+2),"")))</f>
        <v/>
      </c>
      <c r="AX22" s="121" t="str" cm="1">
        <f t="array" aca="1" ref="AX22" ca="1">IF(OR(Formulas!AY20=0,Formulas!AY20=""),"",HYPERLINK("["&amp;Archivo_Nombre&amp;"]Datos!"&amp;LEFT(SUBSTITUTE(ADDRESS(1,Formulas!AY20+2),"$",""))&amp;Formulas!AX20+1,
IFERROR(INDEX(Datos!$A$2:$K$102,Formulas!AX20,Formulas!AY20+2),"")))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21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IFERROR(INDEX(Datos!$A$2:$K$102,Formulas!D20,RIGHT(Formulas!F20)+2),"")))</f>
        <v/>
      </c>
      <c r="E23" s="121" t="str" cm="1">
        <f t="array" aca="1" ref="E23" ca="1">IF(OR(Formulas!F21=0,Formulas!F21=""),"",HYPERLINK("["&amp;Archivo_Nombre&amp;"]Datos!"&amp;LEFT(SUBSTITUTE(ADDRESS(1,Formulas!F21+2),"$",""))&amp;Formulas!E21+1,
IFERROR(INDEX(Datos!$A$2:$K$102,Formulas!E21,Formulas!F21+2),"")))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21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IFERROR(INDEX(Datos!$A$2:$K$102,Formulas!I20,RIGHT(Formulas!K20)+2),"")))</f>
        <v/>
      </c>
      <c r="J23" s="121" t="e" cm="1">
        <f t="array" aca="1" ref="J23" ca="1">IF(OR(Formulas!K21=0,Formulas!K21=""),"",HYPERLINK("["&amp;Archivo_Nombre&amp;"]Datos!"&amp;LEFT(SUBSTITUTE(ADDRESS(1,Formulas!K21+2),"$",""))&amp;Formulas!J21+1,
IFERROR(INDEX(Datos!$A$2:$K$102,Formulas!J21,Formulas!K21+2),"")))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21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IFERROR(INDEX(Datos!$A$2:$K$102,Formulas!N20,RIGHT(Formulas!P20)+2),"")))</f>
        <v/>
      </c>
      <c r="O23" s="121" t="str" cm="1">
        <f t="array" aca="1" ref="O23" ca="1">IF(OR(Formulas!P21=0,Formulas!P21=""),"",HYPERLINK("["&amp;Archivo_Nombre&amp;"]Datos!"&amp;LEFT(SUBSTITUTE(ADDRESS(1,Formulas!P21+2),"$",""))&amp;Formulas!O21+1,
IFERROR(INDEX(Datos!$A$2:$K$102,Formulas!O21,Formulas!P21+2),"")))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21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IFERROR(INDEX(Datos!$A$2:$K$102,Formulas!S20,RIGHT(Formulas!U20)+2),"")))</f>
        <v/>
      </c>
      <c r="T23" s="121" t="e" cm="1">
        <f t="array" aca="1" ref="T23" ca="1">IF(OR(Formulas!U21=0,Formulas!U21=""),"",HYPERLINK("["&amp;Archivo_Nombre&amp;"]Datos!"&amp;LEFT(SUBSTITUTE(ADDRESS(1,Formulas!U21+2),"$",""))&amp;Formulas!T21+1,
IFERROR(INDEX(Datos!$A$2:$K$102,Formulas!T21,Formulas!U21+2),"")))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21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IFERROR(INDEX(Datos!$A$2:$K$102,Formulas!X20,RIGHT(Formulas!Z20)+2),"")))</f>
        <v/>
      </c>
      <c r="Y23" s="121" t="str" cm="1">
        <f t="array" aca="1" ref="Y23" ca="1">IF(OR(Formulas!Z21=0,Formulas!Z21=""),"",HYPERLINK("["&amp;Archivo_Nombre&amp;"]Datos!"&amp;LEFT(SUBSTITUTE(ADDRESS(1,Formulas!Z21+2),"$",""))&amp;Formulas!Y21+1,
IFERROR(INDEX(Datos!$A$2:$K$102,Formulas!Y21,Formulas!Z21+2),"")))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21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IFERROR(INDEX(Datos!$A$2:$K$102,Formulas!AC20,RIGHT(Formulas!AE20)+2),"")))</f>
        <v/>
      </c>
      <c r="AD23" s="121" t="str" cm="1">
        <f t="array" aca="1" ref="AD23" ca="1">IF(OR(Formulas!AE21=0,Formulas!AE21=""),"",HYPERLINK("["&amp;Archivo_Nombre&amp;"]Datos!"&amp;LEFT(SUBSTITUTE(ADDRESS(1,Formulas!AE21+2),"$",""))&amp;Formulas!AD21+1,
IFERROR(INDEX(Datos!$A$2:$K$102,Formulas!AD21,Formulas!AE21+2),"")))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21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IFERROR(INDEX(Datos!$A$2:$K$102,Formulas!AH20,RIGHT(Formulas!AJ20)+2),"")))</f>
        <v/>
      </c>
      <c r="AI23" s="121" t="str" cm="1">
        <f t="array" aca="1" ref="AI23" ca="1">IF(OR(Formulas!AJ21=0,Formulas!AJ21=""),"",HYPERLINK("["&amp;Archivo_Nombre&amp;"]Datos!"&amp;LEFT(SUBSTITUTE(ADDRESS(1,Formulas!AJ21+2),"$",""))&amp;Formulas!AI21+1,
IFERROR(INDEX(Datos!$A$2:$K$102,Formulas!AI21,Formulas!AJ21+2),"")))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21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IFERROR(INDEX(Datos!$A$2:$K$102,Formulas!AM20,RIGHT(Formulas!AO20)+2),"")))</f>
        <v/>
      </c>
      <c r="AN23" s="121" t="str" cm="1">
        <f t="array" aca="1" ref="AN23" ca="1">IF(OR(Formulas!AO21=0,Formulas!AO21=""),"",HYPERLINK("["&amp;Archivo_Nombre&amp;"]Datos!"&amp;LEFT(SUBSTITUTE(ADDRESS(1,Formulas!AO21+2),"$",""))&amp;Formulas!AN21+1,
IFERROR(INDEX(Datos!$A$2:$K$102,Formulas!AN21,Formulas!AO21+2),"")))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21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IFERROR(INDEX(Datos!$A$2:$K$102,Formulas!AR20,RIGHT(Formulas!AT20)+2),"")))</f>
        <v/>
      </c>
      <c r="AS23" s="121" t="str" cm="1">
        <f t="array" aca="1" ref="AS23" ca="1">IF(OR(Formulas!AT21=0,Formulas!AT21=""),"",HYPERLINK("["&amp;Archivo_Nombre&amp;"]Datos!"&amp;LEFT(SUBSTITUTE(ADDRESS(1,Formulas!AT21+2),"$",""))&amp;Formulas!AS21+1,
IFERROR(INDEX(Datos!$A$2:$K$102,Formulas!AS21,Formulas!AT21+2),"")))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21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IFERROR(INDEX(Datos!$A$2:$K$102,Formulas!AW20,RIGHT(Formulas!AY20)+2),"")))</f>
        <v/>
      </c>
      <c r="AX23" s="121" t="str" cm="1">
        <f t="array" aca="1" ref="AX23" ca="1">IF(OR(Formulas!AY21=0,Formulas!AY21=""),"",HYPERLINK("["&amp;Archivo_Nombre&amp;"]Datos!"&amp;LEFT(SUBSTITUTE(ADDRESS(1,Formulas!AY21+2),"$",""))&amp;Formulas!AX21+1,
IFERROR(INDEX(Datos!$A$2:$K$102,Formulas!AX21,Formulas!AY21+2),"")))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21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IFERROR(INDEX(Datos!$A$2:$K$102,Formulas!D21,RIGHT(Formulas!F21)+2),"")))</f>
        <v/>
      </c>
      <c r="E24" s="121" t="str" cm="1">
        <f t="array" aca="1" ref="E24" ca="1">IF(OR(Formulas!F22=0,Formulas!F22=""),"",HYPERLINK("["&amp;Archivo_Nombre&amp;"]Datos!"&amp;LEFT(SUBSTITUTE(ADDRESS(1,Formulas!F22+2),"$",""))&amp;Formulas!E22+1,
IFERROR(INDEX(Datos!$A$2:$K$102,Formulas!E22,Formulas!F22+2),"")))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67:</v>
      </c>
      <c r="I24" s="121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IFERROR(INDEX(Datos!$A$2:$K$102,Formulas!I21,RIGHT(Formulas!K21)+2),"")))</f>
        <v>REQ008-1 Obtener y Modelar Datos</v>
      </c>
      <c r="J24" s="121" t="e" cm="1">
        <f t="array" aca="1" ref="J24" ca="1">IF(OR(Formulas!K22=0,Formulas!K22=""),"",HYPERLINK("["&amp;Archivo_Nombre&amp;"]Datos!"&amp;LEFT(SUBSTITUTE(ADDRESS(1,Formulas!K22+2),"$",""))&amp;Formulas!J22+1,
IFERROR(INDEX(Datos!$A$2:$K$102,Formulas!J22,Formulas!K22+2),"")))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21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IFERROR(INDEX(Datos!$A$2:$K$102,Formulas!N21,RIGHT(Formulas!P21)+2),"")))</f>
        <v/>
      </c>
      <c r="O24" s="121" t="str" cm="1">
        <f t="array" aca="1" ref="O24" ca="1">IF(OR(Formulas!P22=0,Formulas!P22=""),"",HYPERLINK("["&amp;Archivo_Nombre&amp;"]Datos!"&amp;LEFT(SUBSTITUTE(ADDRESS(1,Formulas!P22+2),"$",""))&amp;Formulas!O22+1,
IFERROR(INDEX(Datos!$A$2:$K$102,Formulas!O22,Formulas!P22+2),"")))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56:</v>
      </c>
      <c r="S24" s="121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IFERROR(INDEX(Datos!$A$2:$K$102,Formulas!S21,RIGHT(Formulas!U21)+2),"")))</f>
        <v>REQ006-2 Mostrar mensaje de confirmación antes de eliminar.</v>
      </c>
      <c r="T24" s="121" t="e" cm="1">
        <f t="array" aca="1" ref="T24" ca="1">IF(OR(Formulas!U22=0,Formulas!U22=""),"",HYPERLINK("["&amp;Archivo_Nombre&amp;"]Datos!"&amp;LEFT(SUBSTITUTE(ADDRESS(1,Formulas!U22+2),"$",""))&amp;Formulas!T22+1,
IFERROR(INDEX(Datos!$A$2:$K$102,Formulas!T22,Formulas!U22+2),"")))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21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IFERROR(INDEX(Datos!$A$2:$K$102,Formulas!X21,RIGHT(Formulas!Z21)+2),"")))</f>
        <v/>
      </c>
      <c r="Y24" s="121" t="str" cm="1">
        <f t="array" aca="1" ref="Y24" ca="1">IF(OR(Formulas!Z22=0,Formulas!Z22=""),"",HYPERLINK("["&amp;Archivo_Nombre&amp;"]Datos!"&amp;LEFT(SUBSTITUTE(ADDRESS(1,Formulas!Z22+2),"$",""))&amp;Formulas!Y22+1,
IFERROR(INDEX(Datos!$A$2:$K$102,Formulas!Y22,Formulas!Z22+2),"")))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21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IFERROR(INDEX(Datos!$A$2:$K$102,Formulas!AC21,RIGHT(Formulas!AE21)+2),"")))</f>
        <v/>
      </c>
      <c r="AD24" s="121" t="str" cm="1">
        <f t="array" aca="1" ref="AD24" ca="1">IF(OR(Formulas!AE22=0,Formulas!AE22=""),"",HYPERLINK("["&amp;Archivo_Nombre&amp;"]Datos!"&amp;LEFT(SUBSTITUTE(ADDRESS(1,Formulas!AE22+2),"$",""))&amp;Formulas!AD22+1,
IFERROR(INDEX(Datos!$A$2:$K$102,Formulas!AD22,Formulas!AE22+2),"")))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21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IFERROR(INDEX(Datos!$A$2:$K$102,Formulas!AH21,RIGHT(Formulas!AJ21)+2),"")))</f>
        <v/>
      </c>
      <c r="AI24" s="121" t="str" cm="1">
        <f t="array" aca="1" ref="AI24" ca="1">IF(OR(Formulas!AJ22=0,Formulas!AJ22=""),"",HYPERLINK("["&amp;Archivo_Nombre&amp;"]Datos!"&amp;LEFT(SUBSTITUTE(ADDRESS(1,Formulas!AJ22+2),"$",""))&amp;Formulas!AI22+1,
IFERROR(INDEX(Datos!$A$2:$K$102,Formulas!AI22,Formulas!AJ22+2),"")))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21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IFERROR(INDEX(Datos!$A$2:$K$102,Formulas!AM21,RIGHT(Formulas!AO21)+2),"")))</f>
        <v/>
      </c>
      <c r="AN24" s="121" t="str" cm="1">
        <f t="array" aca="1" ref="AN24" ca="1">IF(OR(Formulas!AO22=0,Formulas!AO22=""),"",HYPERLINK("["&amp;Archivo_Nombre&amp;"]Datos!"&amp;LEFT(SUBSTITUTE(ADDRESS(1,Formulas!AO22+2),"$",""))&amp;Formulas!AN22+1,
IFERROR(INDEX(Datos!$A$2:$K$102,Formulas!AN22,Formulas!AO22+2),"")))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21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IFERROR(INDEX(Datos!$A$2:$K$102,Formulas!AR21,RIGHT(Formulas!AT21)+2),"")))</f>
        <v/>
      </c>
      <c r="AS24" s="121" t="str" cm="1">
        <f t="array" aca="1" ref="AS24" ca="1">IF(OR(Formulas!AT22=0,Formulas!AT22=""),"",HYPERLINK("["&amp;Archivo_Nombre&amp;"]Datos!"&amp;LEFT(SUBSTITUTE(ADDRESS(1,Formulas!AT22+2),"$",""))&amp;Formulas!AS22+1,
IFERROR(INDEX(Datos!$A$2:$K$102,Formulas!AS22,Formulas!AT22+2),"")))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21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IFERROR(INDEX(Datos!$A$2:$K$102,Formulas!AW21,RIGHT(Formulas!AY21)+2),"")))</f>
        <v/>
      </c>
      <c r="AX24" s="121" t="str" cm="1">
        <f t="array" aca="1" ref="AX24" ca="1">IF(OR(Formulas!AY22=0,Formulas!AY22=""),"",HYPERLINK("["&amp;Archivo_Nombre&amp;"]Datos!"&amp;LEFT(SUBSTITUTE(ADDRESS(1,Formulas!AY22+2),"$",""))&amp;Formulas!AX22+1,
IFERROR(INDEX(Datos!$A$2:$K$102,Formulas!AX22,Formulas!AY22+2),"")))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21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IFERROR(INDEX(Datos!$A$2:$K$102,Formulas!D22,RIGHT(Formulas!F22)+2),"")))</f>
        <v/>
      </c>
      <c r="E25" s="121" t="str" cm="1">
        <f t="array" aca="1" ref="E25" ca="1">IF(OR(Formulas!F23=0,Formulas!F23=""),"",HYPERLINK("["&amp;Archivo_Nombre&amp;"]Datos!"&amp;LEFT(SUBSTITUTE(ADDRESS(1,Formulas!F23+2),"$",""))&amp;Formulas!E23+1,
IFERROR(INDEX(Datos!$A$2:$K$102,Formulas!E23,Formulas!F23+2),"")))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21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IFERROR(INDEX(Datos!$A$2:$K$102,Formulas!I22,RIGHT(Formulas!K22)+2),"")))</f>
        <v>0</v>
      </c>
      <c r="J25" s="121" t="e" cm="1">
        <f t="array" aca="1" ref="J25" ca="1">IF(OR(Formulas!K23=0,Formulas!K23=""),"",HYPERLINK("["&amp;Archivo_Nombre&amp;"]Datos!"&amp;LEFT(SUBSTITUTE(ADDRESS(1,Formulas!K23+2),"$",""))&amp;Formulas!J23+1,
IFERROR(INDEX(Datos!$A$2:$K$102,Formulas!J23,Formulas!K23+2),"")))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21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IFERROR(INDEX(Datos!$A$2:$K$102,Formulas!N22,RIGHT(Formulas!P22)+2),"")))</f>
        <v/>
      </c>
      <c r="O25" s="121" t="str" cm="1">
        <f t="array" aca="1" ref="O25" ca="1">IF(OR(Formulas!P23=0,Formulas!P23=""),"",HYPERLINK("["&amp;Archivo_Nombre&amp;"]Datos!"&amp;LEFT(SUBSTITUTE(ADDRESS(1,Formulas!P23+2),"$",""))&amp;Formulas!O23+1,
IFERROR(INDEX(Datos!$A$2:$K$102,Formulas!O23,Formulas!P23+2),"")))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21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IFERROR(INDEX(Datos!$A$2:$K$102,Formulas!S22,RIGHT(Formulas!U22)+2),"")))</f>
        <v>Mensaje de contrato eliminado.</v>
      </c>
      <c r="T25" s="121" t="e" cm="1">
        <f t="array" aca="1" ref="T25" ca="1">IF(OR(Formulas!U23=0,Formulas!U23=""),"",HYPERLINK("["&amp;Archivo_Nombre&amp;"]Datos!"&amp;LEFT(SUBSTITUTE(ADDRESS(1,Formulas!U23+2),"$",""))&amp;Formulas!T23+1,
IFERROR(INDEX(Datos!$A$2:$K$102,Formulas!T23,Formulas!U23+2),"")))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21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IFERROR(INDEX(Datos!$A$2:$K$102,Formulas!X22,RIGHT(Formulas!Z22)+2),"")))</f>
        <v/>
      </c>
      <c r="Y25" s="121" t="str" cm="1">
        <f t="array" aca="1" ref="Y25" ca="1">IF(OR(Formulas!Z23=0,Formulas!Z23=""),"",HYPERLINK("["&amp;Archivo_Nombre&amp;"]Datos!"&amp;LEFT(SUBSTITUTE(ADDRESS(1,Formulas!Z23+2),"$",""))&amp;Formulas!Y23+1,
IFERROR(INDEX(Datos!$A$2:$K$102,Formulas!Y23,Formulas!Z23+2),"")))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21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IFERROR(INDEX(Datos!$A$2:$K$102,Formulas!AC22,RIGHT(Formulas!AE22)+2),"")))</f>
        <v/>
      </c>
      <c r="AD25" s="121" t="str" cm="1">
        <f t="array" aca="1" ref="AD25" ca="1">IF(OR(Formulas!AE23=0,Formulas!AE23=""),"",HYPERLINK("["&amp;Archivo_Nombre&amp;"]Datos!"&amp;LEFT(SUBSTITUTE(ADDRESS(1,Formulas!AE23+2),"$",""))&amp;Formulas!AD23+1,
IFERROR(INDEX(Datos!$A$2:$K$102,Formulas!AD23,Formulas!AE23+2),"")))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21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IFERROR(INDEX(Datos!$A$2:$K$102,Formulas!AH22,RIGHT(Formulas!AJ22)+2),"")))</f>
        <v/>
      </c>
      <c r="AI25" s="121" t="str" cm="1">
        <f t="array" aca="1" ref="AI25" ca="1">IF(OR(Formulas!AJ23=0,Formulas!AJ23=""),"",HYPERLINK("["&amp;Archivo_Nombre&amp;"]Datos!"&amp;LEFT(SUBSTITUTE(ADDRESS(1,Formulas!AJ23+2),"$",""))&amp;Formulas!AI23+1,
IFERROR(INDEX(Datos!$A$2:$K$102,Formulas!AI23,Formulas!AJ23+2),"")))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21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IFERROR(INDEX(Datos!$A$2:$K$102,Formulas!AM22,RIGHT(Formulas!AO22)+2),"")))</f>
        <v/>
      </c>
      <c r="AN25" s="121" t="str" cm="1">
        <f t="array" aca="1" ref="AN25" ca="1">IF(OR(Formulas!AO23=0,Formulas!AO23=""),"",HYPERLINK("["&amp;Archivo_Nombre&amp;"]Datos!"&amp;LEFT(SUBSTITUTE(ADDRESS(1,Formulas!AO23+2),"$",""))&amp;Formulas!AN23+1,
IFERROR(INDEX(Datos!$A$2:$K$102,Formulas!AN23,Formulas!AO23+2),"")))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21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IFERROR(INDEX(Datos!$A$2:$K$102,Formulas!AR22,RIGHT(Formulas!AT22)+2),"")))</f>
        <v/>
      </c>
      <c r="AS25" s="121" t="str" cm="1">
        <f t="array" aca="1" ref="AS25" ca="1">IF(OR(Formulas!AT23=0,Formulas!AT23=""),"",HYPERLINK("["&amp;Archivo_Nombre&amp;"]Datos!"&amp;LEFT(SUBSTITUTE(ADDRESS(1,Formulas!AT23+2),"$",""))&amp;Formulas!AS23+1,
IFERROR(INDEX(Datos!$A$2:$K$102,Formulas!AS23,Formulas!AT23+2),"")))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21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IFERROR(INDEX(Datos!$A$2:$K$102,Formulas!AW22,RIGHT(Formulas!AY22)+2),"")))</f>
        <v/>
      </c>
      <c r="AX25" s="121" t="str" cm="1">
        <f t="array" aca="1" ref="AX25" ca="1">IF(OR(Formulas!AY23=0,Formulas!AY23=""),"",HYPERLINK("["&amp;Archivo_Nombre&amp;"]Datos!"&amp;LEFT(SUBSTITUTE(ADDRESS(1,Formulas!AY23+2),"$",""))&amp;Formulas!AX23+1,
IFERROR(INDEX(Datos!$A$2:$K$102,Formulas!AX23,Formulas!AY23+2),"")))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21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IFERROR(INDEX(Datos!$A$2:$K$102,Formulas!D23,RIGHT(Formulas!F23)+2),"")))</f>
        <v/>
      </c>
      <c r="E26" s="121" t="str" cm="1">
        <f t="array" aca="1" ref="E26" ca="1">IF(OR(Formulas!F24=0,Formulas!F24=""),"",HYPERLINK("["&amp;Archivo_Nombre&amp;"]Datos!"&amp;LEFT(SUBSTITUTE(ADDRESS(1,Formulas!F24+2),"$",""))&amp;Formulas!E24+1,
IFERROR(INDEX(Datos!$A$2:$K$102,Formulas!E24,Formulas!F24+2),"")))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21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IFERROR(INDEX(Datos!$A$2:$K$102,Formulas!I23,RIGHT(Formulas!K23)+2),"")))</f>
        <v>46036</v>
      </c>
      <c r="J26" s="121" t="e" cm="1">
        <f t="array" aca="1" ref="J26" ca="1">IF(OR(Formulas!K24=0,Formulas!K24=""),"",HYPERLINK("["&amp;Archivo_Nombre&amp;"]Datos!"&amp;LEFT(SUBSTITUTE(ADDRESS(1,Formulas!K24+2),"$",""))&amp;Formulas!J24+1,
IFERROR(INDEX(Datos!$A$2:$K$102,Formulas!J24,Formulas!K24+2),"")))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21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IFERROR(INDEX(Datos!$A$2:$K$102,Formulas!N23,RIGHT(Formulas!P23)+2),"")))</f>
        <v/>
      </c>
      <c r="O26" s="121" t="str" cm="1">
        <f t="array" aca="1" ref="O26" ca="1">IF(OR(Formulas!P24=0,Formulas!P24=""),"",HYPERLINK("["&amp;Archivo_Nombre&amp;"]Datos!"&amp;LEFT(SUBSTITUTE(ADDRESS(1,Formulas!P24+2),"$",""))&amp;Formulas!O24+1,
IFERROR(INDEX(Datos!$A$2:$K$102,Formulas!O24,Formulas!P24+2),"")))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21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IFERROR(INDEX(Datos!$A$2:$K$102,Formulas!S23,RIGHT(Formulas!U23)+2),"")))</f>
        <v>45994</v>
      </c>
      <c r="T26" s="121" t="e" cm="1">
        <f t="array" aca="1" ref="T26" ca="1">IF(OR(Formulas!U24=0,Formulas!U24=""),"",HYPERLINK("["&amp;Archivo_Nombre&amp;"]Datos!"&amp;LEFT(SUBSTITUTE(ADDRESS(1,Formulas!U24+2),"$",""))&amp;Formulas!T24+1,
IFERROR(INDEX(Datos!$A$2:$K$102,Formulas!T24,Formulas!U24+2),"")))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21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IFERROR(INDEX(Datos!$A$2:$K$102,Formulas!X23,RIGHT(Formulas!Z23)+2),"")))</f>
        <v/>
      </c>
      <c r="Y26" s="121" t="str" cm="1">
        <f t="array" aca="1" ref="Y26" ca="1">IF(OR(Formulas!Z24=0,Formulas!Z24=""),"",HYPERLINK("["&amp;Archivo_Nombre&amp;"]Datos!"&amp;LEFT(SUBSTITUTE(ADDRESS(1,Formulas!Z24+2),"$",""))&amp;Formulas!Y24+1,
IFERROR(INDEX(Datos!$A$2:$K$102,Formulas!Y24,Formulas!Z24+2),"")))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21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IFERROR(INDEX(Datos!$A$2:$K$102,Formulas!AC23,RIGHT(Formulas!AE23)+2),"")))</f>
        <v/>
      </c>
      <c r="AD26" s="121" t="str" cm="1">
        <f t="array" aca="1" ref="AD26" ca="1">IF(OR(Formulas!AE24=0,Formulas!AE24=""),"",HYPERLINK("["&amp;Archivo_Nombre&amp;"]Datos!"&amp;LEFT(SUBSTITUTE(ADDRESS(1,Formulas!AE24+2),"$",""))&amp;Formulas!AD24+1,
IFERROR(INDEX(Datos!$A$2:$K$102,Formulas!AD24,Formulas!AE24+2),"")))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21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IFERROR(INDEX(Datos!$A$2:$K$102,Formulas!AH23,RIGHT(Formulas!AJ23)+2),"")))</f>
        <v/>
      </c>
      <c r="AI26" s="121" t="str" cm="1">
        <f t="array" aca="1" ref="AI26" ca="1">IF(OR(Formulas!AJ24=0,Formulas!AJ24=""),"",HYPERLINK("["&amp;Archivo_Nombre&amp;"]Datos!"&amp;LEFT(SUBSTITUTE(ADDRESS(1,Formulas!AJ24+2),"$",""))&amp;Formulas!AI24+1,
IFERROR(INDEX(Datos!$A$2:$K$102,Formulas!AI24,Formulas!AJ24+2),"")))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21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IFERROR(INDEX(Datos!$A$2:$K$102,Formulas!AM23,RIGHT(Formulas!AO23)+2),"")))</f>
        <v/>
      </c>
      <c r="AN26" s="121" t="str" cm="1">
        <f t="array" aca="1" ref="AN26" ca="1">IF(OR(Formulas!AO24=0,Formulas!AO24=""),"",HYPERLINK("["&amp;Archivo_Nombre&amp;"]Datos!"&amp;LEFT(SUBSTITUTE(ADDRESS(1,Formulas!AO24+2),"$",""))&amp;Formulas!AN24+1,
IFERROR(INDEX(Datos!$A$2:$K$102,Formulas!AN24,Formulas!AO24+2),"")))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21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IFERROR(INDEX(Datos!$A$2:$K$102,Formulas!AR23,RIGHT(Formulas!AT23)+2),"")))</f>
        <v/>
      </c>
      <c r="AS26" s="121" t="str" cm="1">
        <f t="array" aca="1" ref="AS26" ca="1">IF(OR(Formulas!AT24=0,Formulas!AT24=""),"",HYPERLINK("["&amp;Archivo_Nombre&amp;"]Datos!"&amp;LEFT(SUBSTITUTE(ADDRESS(1,Formulas!AT24+2),"$",""))&amp;Formulas!AS24+1,
IFERROR(INDEX(Datos!$A$2:$K$102,Formulas!AS24,Formulas!AT24+2),"")))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21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IFERROR(INDEX(Datos!$A$2:$K$102,Formulas!AW23,RIGHT(Formulas!AY23)+2),"")))</f>
        <v/>
      </c>
      <c r="AX26" s="121" t="str" cm="1">
        <f t="array" aca="1" ref="AX26" ca="1">IF(OR(Formulas!AY24=0,Formulas!AY24=""),"",HYPERLINK("["&amp;Archivo_Nombre&amp;"]Datos!"&amp;LEFT(SUBSTITUTE(ADDRESS(1,Formulas!AY24+2),"$",""))&amp;Formulas!AX24+1,
IFERROR(INDEX(Datos!$A$2:$K$102,Formulas!AX24,Formulas!AY24+2),"")))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21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IFERROR(INDEX(Datos!$A$2:$K$102,Formulas!D24,RIGHT(Formulas!F24)+2),"")))</f>
        <v/>
      </c>
      <c r="E27" s="121" t="str" cm="1">
        <f t="array" aca="1" ref="E27" ca="1">IF(OR(Formulas!F25=0,Formulas!F25=""),"",HYPERLINK("["&amp;Archivo_Nombre&amp;"]Datos!"&amp;LEFT(SUBSTITUTE(ADDRESS(1,Formulas!F25+2),"$",""))&amp;Formulas!E25+1,
IFERROR(INDEX(Datos!$A$2:$K$102,Formulas!E25,Formulas!F25+2),"")))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21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IFERROR(INDEX(Datos!$A$2:$K$102,Formulas!I24,RIGHT(Formulas!K24)+2),"")))</f>
        <v>46050</v>
      </c>
      <c r="J27" s="121" t="e" cm="1">
        <f t="array" aca="1" ref="J27" ca="1">IF(OR(Formulas!K25=0,Formulas!K25=""),"",HYPERLINK("["&amp;Archivo_Nombre&amp;"]Datos!"&amp;LEFT(SUBSTITUTE(ADDRESS(1,Formulas!K25+2),"$",""))&amp;Formulas!J25+1,
IFERROR(INDEX(Datos!$A$2:$K$102,Formulas!J25,Formulas!K25+2),"")))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21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IFERROR(INDEX(Datos!$A$2:$K$102,Formulas!N24,RIGHT(Formulas!P24)+2),"")))</f>
        <v/>
      </c>
      <c r="O27" s="121" t="str" cm="1">
        <f t="array" aca="1" ref="O27" ca="1">IF(OR(Formulas!P25=0,Formulas!P25=""),"",HYPERLINK("["&amp;Archivo_Nombre&amp;"]Datos!"&amp;LEFT(SUBSTITUTE(ADDRESS(1,Formulas!P25+2),"$",""))&amp;Formulas!O25+1,
IFERROR(INDEX(Datos!$A$2:$K$102,Formulas!O25,Formulas!P25+2),"")))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21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IFERROR(INDEX(Datos!$A$2:$K$102,Formulas!S24,RIGHT(Formulas!U24)+2),"")))</f>
        <v>45999</v>
      </c>
      <c r="T27" s="121" t="e" cm="1">
        <f t="array" aca="1" ref="T27" ca="1">IF(OR(Formulas!U25=0,Formulas!U25=""),"",HYPERLINK("["&amp;Archivo_Nombre&amp;"]Datos!"&amp;LEFT(SUBSTITUTE(ADDRESS(1,Formulas!U25+2),"$",""))&amp;Formulas!T25+1,
IFERROR(INDEX(Datos!$A$2:$K$102,Formulas!T25,Formulas!U25+2),"")))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21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IFERROR(INDEX(Datos!$A$2:$K$102,Formulas!X24,RIGHT(Formulas!Z24)+2),"")))</f>
        <v/>
      </c>
      <c r="Y27" s="121" t="str" cm="1">
        <f t="array" aca="1" ref="Y27" ca="1">IF(OR(Formulas!Z25=0,Formulas!Z25=""),"",HYPERLINK("["&amp;Archivo_Nombre&amp;"]Datos!"&amp;LEFT(SUBSTITUTE(ADDRESS(1,Formulas!Z25+2),"$",""))&amp;Formulas!Y25+1,
IFERROR(INDEX(Datos!$A$2:$K$102,Formulas!Y25,Formulas!Z25+2),"")))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21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IFERROR(INDEX(Datos!$A$2:$K$102,Formulas!AC24,RIGHT(Formulas!AE24)+2),"")))</f>
        <v/>
      </c>
      <c r="AD27" s="121" t="str" cm="1">
        <f t="array" aca="1" ref="AD27" ca="1">IF(OR(Formulas!AE25=0,Formulas!AE25=""),"",HYPERLINK("["&amp;Archivo_Nombre&amp;"]Datos!"&amp;LEFT(SUBSTITUTE(ADDRESS(1,Formulas!AE25+2),"$",""))&amp;Formulas!AD25+1,
IFERROR(INDEX(Datos!$A$2:$K$102,Formulas!AD25,Formulas!AE25+2),"")))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21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IFERROR(INDEX(Datos!$A$2:$K$102,Formulas!AH24,RIGHT(Formulas!AJ24)+2),"")))</f>
        <v/>
      </c>
      <c r="AI27" s="121" t="str" cm="1">
        <f t="array" aca="1" ref="AI27" ca="1">IF(OR(Formulas!AJ25=0,Formulas!AJ25=""),"",HYPERLINK("["&amp;Archivo_Nombre&amp;"]Datos!"&amp;LEFT(SUBSTITUTE(ADDRESS(1,Formulas!AJ25+2),"$",""))&amp;Formulas!AI25+1,
IFERROR(INDEX(Datos!$A$2:$K$102,Formulas!AI25,Formulas!AJ25+2),"")))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21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IFERROR(INDEX(Datos!$A$2:$K$102,Formulas!AM24,RIGHT(Formulas!AO24)+2),"")))</f>
        <v/>
      </c>
      <c r="AN27" s="121" t="str" cm="1">
        <f t="array" aca="1" ref="AN27" ca="1">IF(OR(Formulas!AO25=0,Formulas!AO25=""),"",HYPERLINK("["&amp;Archivo_Nombre&amp;"]Datos!"&amp;LEFT(SUBSTITUTE(ADDRESS(1,Formulas!AO25+2),"$",""))&amp;Formulas!AN25+1,
IFERROR(INDEX(Datos!$A$2:$K$102,Formulas!AN25,Formulas!AO25+2),"")))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21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IFERROR(INDEX(Datos!$A$2:$K$102,Formulas!AR24,RIGHT(Formulas!AT24)+2),"")))</f>
        <v/>
      </c>
      <c r="AS27" s="121" t="str" cm="1">
        <f t="array" aca="1" ref="AS27" ca="1">IF(OR(Formulas!AT25=0,Formulas!AT25=""),"",HYPERLINK("["&amp;Archivo_Nombre&amp;"]Datos!"&amp;LEFT(SUBSTITUTE(ADDRESS(1,Formulas!AT25+2),"$",""))&amp;Formulas!AS25+1,
IFERROR(INDEX(Datos!$A$2:$K$102,Formulas!AS25,Formulas!AT25+2),"")))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21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IFERROR(INDEX(Datos!$A$2:$K$102,Formulas!AW24,RIGHT(Formulas!AY24)+2),"")))</f>
        <v/>
      </c>
      <c r="AX27" s="121" t="str" cm="1">
        <f t="array" aca="1" ref="AX27" ca="1">IF(OR(Formulas!AY25=0,Formulas!AY25=""),"",HYPERLINK("["&amp;Archivo_Nombre&amp;"]Datos!"&amp;LEFT(SUBSTITUTE(ADDRESS(1,Formulas!AY25+2),"$",""))&amp;Formulas!AX25+1,
IFERROR(INDEX(Datos!$A$2:$K$102,Formulas!AX25,Formulas!AY25+2),"")))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21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IFERROR(INDEX(Datos!$A$2:$K$102,Formulas!D25,RIGHT(Formulas!F25)+2),"")))</f>
        <v/>
      </c>
      <c r="E28" s="121" t="str" cm="1">
        <f t="array" aca="1" ref="E28" ca="1">IF(OR(Formulas!F26=0,Formulas!F26=""),"",HYPERLINK("["&amp;Archivo_Nombre&amp;"]Datos!"&amp;LEFT(SUBSTITUTE(ADDRESS(1,Formulas!F26+2),"$",""))&amp;Formulas!E26+1,
IFERROR(INDEX(Datos!$A$2:$K$102,Formulas!E26,Formulas!F26+2),"")))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21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IFERROR(INDEX(Datos!$A$2:$K$102,Formulas!I25,RIGHT(Formulas!K25)+2),"")))</f>
        <v>46043</v>
      </c>
      <c r="J28" s="121" t="e" cm="1">
        <f t="array" aca="1" ref="J28" ca="1">IF(OR(Formulas!K26=0,Formulas!K26=""),"",HYPERLINK("["&amp;Archivo_Nombre&amp;"]Datos!"&amp;LEFT(SUBSTITUTE(ADDRESS(1,Formulas!K26+2),"$",""))&amp;Formulas!J26+1,
IFERROR(INDEX(Datos!$A$2:$K$102,Formulas!J26,Formulas!K26+2),"")))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21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IFERROR(INDEX(Datos!$A$2:$K$102,Formulas!N25,RIGHT(Formulas!P25)+2),"")))</f>
        <v/>
      </c>
      <c r="O28" s="121" t="str" cm="1">
        <f t="array" aca="1" ref="O28" ca="1">IF(OR(Formulas!P26=0,Formulas!P26=""),"",HYPERLINK("["&amp;Archivo_Nombre&amp;"]Datos!"&amp;LEFT(SUBSTITUTE(ADDRESS(1,Formulas!P26+2),"$",""))&amp;Formulas!O26+1,
IFERROR(INDEX(Datos!$A$2:$K$102,Formulas!O26,Formulas!P26+2),"")))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21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IFERROR(INDEX(Datos!$A$2:$K$102,Formulas!S25,RIGHT(Formulas!U25)+2),"")))</f>
        <v>45999</v>
      </c>
      <c r="T28" s="121" t="e" cm="1">
        <f t="array" aca="1" ref="T28" ca="1">IF(OR(Formulas!U26=0,Formulas!U26=""),"",HYPERLINK("["&amp;Archivo_Nombre&amp;"]Datos!"&amp;LEFT(SUBSTITUTE(ADDRESS(1,Formulas!U26+2),"$",""))&amp;Formulas!T26+1,
IFERROR(INDEX(Datos!$A$2:$K$102,Formulas!T26,Formulas!U26+2),"")))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21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IFERROR(INDEX(Datos!$A$2:$K$102,Formulas!X25,RIGHT(Formulas!Z25)+2),"")))</f>
        <v/>
      </c>
      <c r="Y28" s="121" t="str" cm="1">
        <f t="array" aca="1" ref="Y28" ca="1">IF(OR(Formulas!Z26=0,Formulas!Z26=""),"",HYPERLINK("["&amp;Archivo_Nombre&amp;"]Datos!"&amp;LEFT(SUBSTITUTE(ADDRESS(1,Formulas!Z26+2),"$",""))&amp;Formulas!Y26+1,
IFERROR(INDEX(Datos!$A$2:$K$102,Formulas!Y26,Formulas!Z26+2),"")))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21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IFERROR(INDEX(Datos!$A$2:$K$102,Formulas!AC25,RIGHT(Formulas!AE25)+2),"")))</f>
        <v/>
      </c>
      <c r="AD28" s="121" t="str" cm="1">
        <f t="array" aca="1" ref="AD28" ca="1">IF(OR(Formulas!AE26=0,Formulas!AE26=""),"",HYPERLINK("["&amp;Archivo_Nombre&amp;"]Datos!"&amp;LEFT(SUBSTITUTE(ADDRESS(1,Formulas!AE26+2),"$",""))&amp;Formulas!AD26+1,
IFERROR(INDEX(Datos!$A$2:$K$102,Formulas!AD26,Formulas!AE26+2),"")))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21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IFERROR(INDEX(Datos!$A$2:$K$102,Formulas!AH25,RIGHT(Formulas!AJ25)+2),"")))</f>
        <v/>
      </c>
      <c r="AI28" s="121" t="str" cm="1">
        <f t="array" aca="1" ref="AI28" ca="1">IF(OR(Formulas!AJ26=0,Formulas!AJ26=""),"",HYPERLINK("["&amp;Archivo_Nombre&amp;"]Datos!"&amp;LEFT(SUBSTITUTE(ADDRESS(1,Formulas!AJ26+2),"$",""))&amp;Formulas!AI26+1,
IFERROR(INDEX(Datos!$A$2:$K$102,Formulas!AI26,Formulas!AJ26+2),"")))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21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IFERROR(INDEX(Datos!$A$2:$K$102,Formulas!AM25,RIGHT(Formulas!AO25)+2),"")))</f>
        <v/>
      </c>
      <c r="AN28" s="121" t="str" cm="1">
        <f t="array" aca="1" ref="AN28" ca="1">IF(OR(Formulas!AO26=0,Formulas!AO26=""),"",HYPERLINK("["&amp;Archivo_Nombre&amp;"]Datos!"&amp;LEFT(SUBSTITUTE(ADDRESS(1,Formulas!AO26+2),"$",""))&amp;Formulas!AN26+1,
IFERROR(INDEX(Datos!$A$2:$K$102,Formulas!AN26,Formulas!AO26+2),"")))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21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IFERROR(INDEX(Datos!$A$2:$K$102,Formulas!AR25,RIGHT(Formulas!AT25)+2),"")))</f>
        <v/>
      </c>
      <c r="AS28" s="121" t="str" cm="1">
        <f t="array" aca="1" ref="AS28" ca="1">IF(OR(Formulas!AT26=0,Formulas!AT26=""),"",HYPERLINK("["&amp;Archivo_Nombre&amp;"]Datos!"&amp;LEFT(SUBSTITUTE(ADDRESS(1,Formulas!AT26+2),"$",""))&amp;Formulas!AS26+1,
IFERROR(INDEX(Datos!$A$2:$K$102,Formulas!AS26,Formulas!AT26+2),"")))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21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IFERROR(INDEX(Datos!$A$2:$K$102,Formulas!AW25,RIGHT(Formulas!AY25)+2),"")))</f>
        <v/>
      </c>
      <c r="AX28" s="121" t="str" cm="1">
        <f t="array" aca="1" ref="AX28" ca="1">IF(OR(Formulas!AY26=0,Formulas!AY26=""),"",HYPERLINK("["&amp;Archivo_Nombre&amp;"]Datos!"&amp;LEFT(SUBSTITUTE(ADDRESS(1,Formulas!AY26+2),"$",""))&amp;Formulas!AX26+1,
IFERROR(INDEX(Datos!$A$2:$K$102,Formulas!AX26,Formulas!AY26+2),"")))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21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IFERROR(INDEX(Datos!$A$2:$K$102,Formulas!D26,RIGHT(Formulas!F26)+2),"")))</f>
        <v/>
      </c>
      <c r="E29" s="121" t="str" cm="1">
        <f t="array" aca="1" ref="E29" ca="1">IF(OR(Formulas!F27=0,Formulas!F27=""),"",HYPERLINK("["&amp;Archivo_Nombre&amp;"]Datos!"&amp;LEFT(SUBSTITUTE(ADDRESS(1,Formulas!F27+2),"$",""))&amp;Formulas!E27+1,
IFERROR(INDEX(Datos!$A$2:$K$102,Formulas!E27,Formulas!F27+2),"")))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21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IFERROR(INDEX(Datos!$A$2:$K$102,Formulas!I26,RIGHT(Formulas!K26)+2),"")))</f>
        <v>8 días</v>
      </c>
      <c r="J29" s="121" t="e" cm="1">
        <f t="array" aca="1" ref="J29" ca="1">IF(OR(Formulas!K27=0,Formulas!K27=""),"",HYPERLINK("["&amp;Archivo_Nombre&amp;"]Datos!"&amp;LEFT(SUBSTITUTE(ADDRESS(1,Formulas!K27+2),"$",""))&amp;Formulas!J27+1,
IFERROR(INDEX(Datos!$A$2:$K$102,Formulas!J27,Formulas!K27+2),"")))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21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IFERROR(INDEX(Datos!$A$2:$K$102,Formulas!N26,RIGHT(Formulas!P26)+2),"")))</f>
        <v/>
      </c>
      <c r="O29" s="121" t="str" cm="1">
        <f t="array" aca="1" ref="O29" ca="1">IF(OR(Formulas!P27=0,Formulas!P27=""),"",HYPERLINK("["&amp;Archivo_Nombre&amp;"]Datos!"&amp;LEFT(SUBSTITUTE(ADDRESS(1,Formulas!P27+2),"$",""))&amp;Formulas!O27+1,
IFERROR(INDEX(Datos!$A$2:$K$102,Formulas!O27,Formulas!P27+2),"")))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21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IFERROR(INDEX(Datos!$A$2:$K$102,Formulas!S26,RIGHT(Formulas!U26)+2),"")))</f>
        <v>6 días</v>
      </c>
      <c r="T29" s="121" t="e" cm="1">
        <f t="array" aca="1" ref="T29" ca="1">IF(OR(Formulas!U27=0,Formulas!U27=""),"",HYPERLINK("["&amp;Archivo_Nombre&amp;"]Datos!"&amp;LEFT(SUBSTITUTE(ADDRESS(1,Formulas!U27+2),"$",""))&amp;Formulas!T27+1,
IFERROR(INDEX(Datos!$A$2:$K$102,Formulas!T27,Formulas!U27+2),"")))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21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IFERROR(INDEX(Datos!$A$2:$K$102,Formulas!X26,RIGHT(Formulas!Z26)+2),"")))</f>
        <v/>
      </c>
      <c r="Y29" s="121" t="str" cm="1">
        <f t="array" aca="1" ref="Y29" ca="1">IF(OR(Formulas!Z27=0,Formulas!Z27=""),"",HYPERLINK("["&amp;Archivo_Nombre&amp;"]Datos!"&amp;LEFT(SUBSTITUTE(ADDRESS(1,Formulas!Z27+2),"$",""))&amp;Formulas!Y27+1,
IFERROR(INDEX(Datos!$A$2:$K$102,Formulas!Y27,Formulas!Z27+2),"")))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21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IFERROR(INDEX(Datos!$A$2:$K$102,Formulas!AC26,RIGHT(Formulas!AE26)+2),"")))</f>
        <v/>
      </c>
      <c r="AD29" s="121" t="str" cm="1">
        <f t="array" aca="1" ref="AD29" ca="1">IF(OR(Formulas!AE27=0,Formulas!AE27=""),"",HYPERLINK("["&amp;Archivo_Nombre&amp;"]Datos!"&amp;LEFT(SUBSTITUTE(ADDRESS(1,Formulas!AE27+2),"$",""))&amp;Formulas!AD27+1,
IFERROR(INDEX(Datos!$A$2:$K$102,Formulas!AD27,Formulas!AE27+2),"")))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21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IFERROR(INDEX(Datos!$A$2:$K$102,Formulas!AH26,RIGHT(Formulas!AJ26)+2),"")))</f>
        <v/>
      </c>
      <c r="AI29" s="121" t="str" cm="1">
        <f t="array" aca="1" ref="AI29" ca="1">IF(OR(Formulas!AJ27=0,Formulas!AJ27=""),"",HYPERLINK("["&amp;Archivo_Nombre&amp;"]Datos!"&amp;LEFT(SUBSTITUTE(ADDRESS(1,Formulas!AJ27+2),"$",""))&amp;Formulas!AI27+1,
IFERROR(INDEX(Datos!$A$2:$K$102,Formulas!AI27,Formulas!AJ27+2),"")))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21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IFERROR(INDEX(Datos!$A$2:$K$102,Formulas!AM26,RIGHT(Formulas!AO26)+2),"")))</f>
        <v/>
      </c>
      <c r="AN29" s="121" t="str" cm="1">
        <f t="array" aca="1" ref="AN29" ca="1">IF(OR(Formulas!AO27=0,Formulas!AO27=""),"",HYPERLINK("["&amp;Archivo_Nombre&amp;"]Datos!"&amp;LEFT(SUBSTITUTE(ADDRESS(1,Formulas!AO27+2),"$",""))&amp;Formulas!AN27+1,
IFERROR(INDEX(Datos!$A$2:$K$102,Formulas!AN27,Formulas!AO27+2),"")))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21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IFERROR(INDEX(Datos!$A$2:$K$102,Formulas!AR26,RIGHT(Formulas!AT26)+2),"")))</f>
        <v/>
      </c>
      <c r="AS29" s="121" t="str" cm="1">
        <f t="array" aca="1" ref="AS29" ca="1">IF(OR(Formulas!AT27=0,Formulas!AT27=""),"",HYPERLINK("["&amp;Archivo_Nombre&amp;"]Datos!"&amp;LEFT(SUBSTITUTE(ADDRESS(1,Formulas!AT27+2),"$",""))&amp;Formulas!AS27+1,
IFERROR(INDEX(Datos!$A$2:$K$102,Formulas!AS27,Formulas!AT27+2),"")))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21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IFERROR(INDEX(Datos!$A$2:$K$102,Formulas!AW26,RIGHT(Formulas!AY26)+2),"")))</f>
        <v/>
      </c>
      <c r="AX29" s="121" t="str" cm="1">
        <f t="array" aca="1" ref="AX29" ca="1">IF(OR(Formulas!AY27=0,Formulas!AY27=""),"",HYPERLINK("["&amp;Archivo_Nombre&amp;"]Datos!"&amp;LEFT(SUBSTITUTE(ADDRESS(1,Formulas!AY27+2),"$",""))&amp;Formulas!AX27+1,
IFERROR(INDEX(Datos!$A$2:$K$102,Formulas!AX27,Formulas!AY27+2),"")))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21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IFERROR(INDEX(Datos!$A$2:$K$102,Formulas!D27,RIGHT(Formulas!F27)+2),"")))</f>
        <v/>
      </c>
      <c r="E30" s="121" t="str" cm="1">
        <f t="array" aca="1" ref="E30" ca="1">IF(OR(Formulas!F28=0,Formulas!F28=""),"",HYPERLINK("["&amp;Archivo_Nombre&amp;"]Datos!"&amp;LEFT(SUBSTITUTE(ADDRESS(1,Formulas!F28+2),"$",""))&amp;Formulas!E28+1,
IFERROR(INDEX(Datos!$A$2:$K$102,Formulas!E28,Formulas!F28+2),"")))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21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IFERROR(INDEX(Datos!$A$2:$K$102,Formulas!I27,RIGHT(Formulas!K27)+2),"")))</f>
        <v>0 días</v>
      </c>
      <c r="J30" s="121" t="e" cm="1">
        <f t="array" aca="1" ref="J30" ca="1">IF(OR(Formulas!K28=0,Formulas!K28=""),"",HYPERLINK("["&amp;Archivo_Nombre&amp;"]Datos!"&amp;LEFT(SUBSTITUTE(ADDRESS(1,Formulas!K28+2),"$",""))&amp;Formulas!J28+1,
IFERROR(INDEX(Datos!$A$2:$K$102,Formulas!J28,Formulas!K28+2),"")))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21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IFERROR(INDEX(Datos!$A$2:$K$102,Formulas!N27,RIGHT(Formulas!P27)+2),"")))</f>
        <v/>
      </c>
      <c r="O30" s="121" t="str" cm="1">
        <f t="array" aca="1" ref="O30" ca="1">IF(OR(Formulas!P28=0,Formulas!P28=""),"",HYPERLINK("["&amp;Archivo_Nombre&amp;"]Datos!"&amp;LEFT(SUBSTITUTE(ADDRESS(1,Formulas!P28+2),"$",""))&amp;Formulas!O28+1,
IFERROR(INDEX(Datos!$A$2:$K$102,Formulas!O28,Formulas!P28+2),"")))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21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IFERROR(INDEX(Datos!$A$2:$K$102,Formulas!S27,RIGHT(Formulas!U27)+2),"")))</f>
        <v>0 días</v>
      </c>
      <c r="T30" s="121" t="e" cm="1">
        <f t="array" aca="1" ref="T30" ca="1">IF(OR(Formulas!U28=0,Formulas!U28=""),"",HYPERLINK("["&amp;Archivo_Nombre&amp;"]Datos!"&amp;LEFT(SUBSTITUTE(ADDRESS(1,Formulas!U28+2),"$",""))&amp;Formulas!T28+1,
IFERROR(INDEX(Datos!$A$2:$K$102,Formulas!T28,Formulas!U28+2),"")))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21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IFERROR(INDEX(Datos!$A$2:$K$102,Formulas!X27,RIGHT(Formulas!Z27)+2),"")))</f>
        <v/>
      </c>
      <c r="Y30" s="121" t="str" cm="1">
        <f t="array" aca="1" ref="Y30" ca="1">IF(OR(Formulas!Z28=0,Formulas!Z28=""),"",HYPERLINK("["&amp;Archivo_Nombre&amp;"]Datos!"&amp;LEFT(SUBSTITUTE(ADDRESS(1,Formulas!Z28+2),"$",""))&amp;Formulas!Y28+1,
IFERROR(INDEX(Datos!$A$2:$K$102,Formulas!Y28,Formulas!Z28+2),"")))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21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IFERROR(INDEX(Datos!$A$2:$K$102,Formulas!AC27,RIGHT(Formulas!AE27)+2),"")))</f>
        <v/>
      </c>
      <c r="AD30" s="121" t="str" cm="1">
        <f t="array" aca="1" ref="AD30" ca="1">IF(OR(Formulas!AE28=0,Formulas!AE28=""),"",HYPERLINK("["&amp;Archivo_Nombre&amp;"]Datos!"&amp;LEFT(SUBSTITUTE(ADDRESS(1,Formulas!AE28+2),"$",""))&amp;Formulas!AD28+1,
IFERROR(INDEX(Datos!$A$2:$K$102,Formulas!AD28,Formulas!AE28+2),"")))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21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IFERROR(INDEX(Datos!$A$2:$K$102,Formulas!AH27,RIGHT(Formulas!AJ27)+2),"")))</f>
        <v/>
      </c>
      <c r="AI30" s="121" t="str" cm="1">
        <f t="array" aca="1" ref="AI30" ca="1">IF(OR(Formulas!AJ28=0,Formulas!AJ28=""),"",HYPERLINK("["&amp;Archivo_Nombre&amp;"]Datos!"&amp;LEFT(SUBSTITUTE(ADDRESS(1,Formulas!AJ28+2),"$",""))&amp;Formulas!AI28+1,
IFERROR(INDEX(Datos!$A$2:$K$102,Formulas!AI28,Formulas!AJ28+2),"")))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21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IFERROR(INDEX(Datos!$A$2:$K$102,Formulas!AM27,RIGHT(Formulas!AO27)+2),"")))</f>
        <v/>
      </c>
      <c r="AN30" s="121" t="str" cm="1">
        <f t="array" aca="1" ref="AN30" ca="1">IF(OR(Formulas!AO28=0,Formulas!AO28=""),"",HYPERLINK("["&amp;Archivo_Nombre&amp;"]Datos!"&amp;LEFT(SUBSTITUTE(ADDRESS(1,Formulas!AO28+2),"$",""))&amp;Formulas!AN28+1,
IFERROR(INDEX(Datos!$A$2:$K$102,Formulas!AN28,Formulas!AO28+2),"")))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21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IFERROR(INDEX(Datos!$A$2:$K$102,Formulas!AR27,RIGHT(Formulas!AT27)+2),"")))</f>
        <v/>
      </c>
      <c r="AS30" s="121" t="str" cm="1">
        <f t="array" aca="1" ref="AS30" ca="1">IF(OR(Formulas!AT28=0,Formulas!AT28=""),"",HYPERLINK("["&amp;Archivo_Nombre&amp;"]Datos!"&amp;LEFT(SUBSTITUTE(ADDRESS(1,Formulas!AT28+2),"$",""))&amp;Formulas!AS28+1,
IFERROR(INDEX(Datos!$A$2:$K$102,Formulas!AS28,Formulas!AT28+2),"")))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21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IFERROR(INDEX(Datos!$A$2:$K$102,Formulas!AW27,RIGHT(Formulas!AY27)+2),"")))</f>
        <v/>
      </c>
      <c r="AX30" s="121" t="str" cm="1">
        <f t="array" aca="1" ref="AX30" ca="1">IF(OR(Formulas!AY28=0,Formulas!AY28=""),"",HYPERLINK("["&amp;Archivo_Nombre&amp;"]Datos!"&amp;LEFT(SUBSTITUTE(ADDRESS(1,Formulas!AY28+2),"$",""))&amp;Formulas!AX28+1,
IFERROR(INDEX(Datos!$A$2:$K$102,Formulas!AX28,Formulas!AY28+2),"")))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21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IFERROR(INDEX(Datos!$A$2:$K$102,Formulas!D28,RIGHT(Formulas!F28)+2),"")))</f>
        <v/>
      </c>
      <c r="E31" s="121" t="str" cm="1">
        <f t="array" aca="1" ref="E31" ca="1">IF(OR(Formulas!F29=0,Formulas!F29=""),"",HYPERLINK("["&amp;Archivo_Nombre&amp;"]Datos!"&amp;LEFT(SUBSTITUTE(ADDRESS(1,Formulas!F29+2),"$",""))&amp;Formulas!E29+1,
IFERROR(INDEX(Datos!$A$2:$K$102,Formulas!E29,Formulas!F29+2),"")))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21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IFERROR(INDEX(Datos!$A$2:$K$102,Formulas!I28,RIGHT(Formulas!K28)+2),"")))</f>
        <v>Madellyn Tasipanta</v>
      </c>
      <c r="J31" s="121" t="str" cm="1">
        <f t="array" aca="1" ref="J31" ca="1">IF(OR(Formulas!K29=0,Formulas!K29=""),"",HYPERLINK("["&amp;Archivo_Nombre&amp;"]Datos!"&amp;LEFT(SUBSTITUTE(ADDRESS(1,Formulas!K29+2),"$",""))&amp;Formulas!J29+1,
IFERROR(INDEX(Datos!$A$2:$K$102,Formulas!J29,Formulas!K29+2),"")))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21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IFERROR(INDEX(Datos!$A$2:$K$102,Formulas!N28,RIGHT(Formulas!P28)+2),"")))</f>
        <v/>
      </c>
      <c r="O31" s="121" t="str" cm="1">
        <f t="array" aca="1" ref="O31" ca="1">IF(OR(Formulas!P29=0,Formulas!P29=""),"",HYPERLINK("["&amp;Archivo_Nombre&amp;"]Datos!"&amp;LEFT(SUBSTITUTE(ADDRESS(1,Formulas!P29+2),"$",""))&amp;Formulas!O29+1,
IFERROR(INDEX(Datos!$A$2:$K$102,Formulas!O29,Formulas!P29+2),"")))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21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IFERROR(INDEX(Datos!$A$2:$K$102,Formulas!S28,RIGHT(Formulas!U28)+2),"")))</f>
        <v>Luis Calle</v>
      </c>
      <c r="T31" s="121" t="str" cm="1">
        <f t="array" aca="1" ref="T31" ca="1">IF(OR(Formulas!U29=0,Formulas!U29=""),"",HYPERLINK("["&amp;Archivo_Nombre&amp;"]Datos!"&amp;LEFT(SUBSTITUTE(ADDRESS(1,Formulas!U29+2),"$",""))&amp;Formulas!T29+1,
IFERROR(INDEX(Datos!$A$2:$K$102,Formulas!T29,Formulas!U29+2),"")))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21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IFERROR(INDEX(Datos!$A$2:$K$102,Formulas!X28,RIGHT(Formulas!Z28)+2),"")))</f>
        <v/>
      </c>
      <c r="Y31" s="121" t="str" cm="1">
        <f t="array" aca="1" ref="Y31" ca="1">IF(OR(Formulas!Z29=0,Formulas!Z29=""),"",HYPERLINK("["&amp;Archivo_Nombre&amp;"]Datos!"&amp;LEFT(SUBSTITUTE(ADDRESS(1,Formulas!Z29+2),"$",""))&amp;Formulas!Y29+1,
IFERROR(INDEX(Datos!$A$2:$K$102,Formulas!Y29,Formulas!Z29+2),"")))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21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IFERROR(INDEX(Datos!$A$2:$K$102,Formulas!AC28,RIGHT(Formulas!AE28)+2),"")))</f>
        <v/>
      </c>
      <c r="AD31" s="121" t="str" cm="1">
        <f t="array" aca="1" ref="AD31" ca="1">IF(OR(Formulas!AE29=0,Formulas!AE29=""),"",HYPERLINK("["&amp;Archivo_Nombre&amp;"]Datos!"&amp;LEFT(SUBSTITUTE(ADDRESS(1,Formulas!AE29+2),"$",""))&amp;Formulas!AD29+1,
IFERROR(INDEX(Datos!$A$2:$K$102,Formulas!AD29,Formulas!AE29+2),"")))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21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IFERROR(INDEX(Datos!$A$2:$K$102,Formulas!AH28,RIGHT(Formulas!AJ28)+2),"")))</f>
        <v/>
      </c>
      <c r="AI31" s="121" t="str" cm="1">
        <f t="array" aca="1" ref="AI31" ca="1">IF(OR(Formulas!AJ29=0,Formulas!AJ29=""),"",HYPERLINK("["&amp;Archivo_Nombre&amp;"]Datos!"&amp;LEFT(SUBSTITUTE(ADDRESS(1,Formulas!AJ29+2),"$",""))&amp;Formulas!AI29+1,
IFERROR(INDEX(Datos!$A$2:$K$102,Formulas!AI29,Formulas!AJ29+2),"")))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21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IFERROR(INDEX(Datos!$A$2:$K$102,Formulas!AM28,RIGHT(Formulas!AO28)+2),"")))</f>
        <v/>
      </c>
      <c r="AN31" s="121" t="str" cm="1">
        <f t="array" aca="1" ref="AN31" ca="1">IF(OR(Formulas!AO29=0,Formulas!AO29=""),"",HYPERLINK("["&amp;Archivo_Nombre&amp;"]Datos!"&amp;LEFT(SUBSTITUTE(ADDRESS(1,Formulas!AO29+2),"$",""))&amp;Formulas!AN29+1,
IFERROR(INDEX(Datos!$A$2:$K$102,Formulas!AN29,Formulas!AO29+2),"")))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21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IFERROR(INDEX(Datos!$A$2:$K$102,Formulas!AR28,RIGHT(Formulas!AT28)+2),"")))</f>
        <v/>
      </c>
      <c r="AS31" s="121" t="str" cm="1">
        <f t="array" aca="1" ref="AS31" ca="1">IF(OR(Formulas!AT29=0,Formulas!AT29=""),"",HYPERLINK("["&amp;Archivo_Nombre&amp;"]Datos!"&amp;LEFT(SUBSTITUTE(ADDRESS(1,Formulas!AT29+2),"$",""))&amp;Formulas!AS29+1,
IFERROR(INDEX(Datos!$A$2:$K$102,Formulas!AS29,Formulas!AT29+2),"")))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21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IFERROR(INDEX(Datos!$A$2:$K$102,Formulas!AW28,RIGHT(Formulas!AY28)+2),"")))</f>
        <v/>
      </c>
      <c r="AX31" s="121" t="str" cm="1">
        <f t="array" aca="1" ref="AX31" ca="1">IF(OR(Formulas!AY29=0,Formulas!AY29=""),"",HYPERLINK("["&amp;Archivo_Nombre&amp;"]Datos!"&amp;LEFT(SUBSTITUTE(ADDRESS(1,Formulas!AY29+2),"$",""))&amp;Formulas!AX29+1,
IFERROR(INDEX(Datos!$A$2:$K$102,Formulas!AX29,Formulas!AY29+2),"")))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21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IFERROR(INDEX(Datos!$A$2:$K$102,Formulas!D29,RIGHT(Formulas!F29)+2),"")))</f>
        <v/>
      </c>
      <c r="E32" s="121" t="str" cm="1">
        <f t="array" aca="1" ref="E32" ca="1">IF(OR(Formulas!F30=0,Formulas!F30=""),"",HYPERLINK("["&amp;Archivo_Nombre&amp;"]Datos!"&amp;LEFT(SUBSTITUTE(ADDRESS(1,Formulas!F30+2),"$",""))&amp;Formulas!E30+1,
IFERROR(INDEX(Datos!$A$2:$K$102,Formulas!E30,Formulas!F30+2),"")))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21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IFERROR(INDEX(Datos!$A$2:$K$102,Formulas!I29,RIGHT(Formulas!K29)+2),"")))</f>
        <v/>
      </c>
      <c r="J32" s="121" t="e" cm="1">
        <f t="array" aca="1" ref="J32" ca="1">IF(OR(Formulas!K30=0,Formulas!K30=""),"",HYPERLINK("["&amp;Archivo_Nombre&amp;"]Datos!"&amp;LEFT(SUBSTITUTE(ADDRESS(1,Formulas!K30+2),"$",""))&amp;Formulas!J30+1,
IFERROR(INDEX(Datos!$A$2:$K$102,Formulas!J30,Formulas!K30+2),"")))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21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IFERROR(INDEX(Datos!$A$2:$K$102,Formulas!N29,RIGHT(Formulas!P29)+2),"")))</f>
        <v/>
      </c>
      <c r="O32" s="121" t="str" cm="1">
        <f t="array" aca="1" ref="O32" ca="1">IF(OR(Formulas!P30=0,Formulas!P30=""),"",HYPERLINK("["&amp;Archivo_Nombre&amp;"]Datos!"&amp;LEFT(SUBSTITUTE(ADDRESS(1,Formulas!P30+2),"$",""))&amp;Formulas!O30+1,
IFERROR(INDEX(Datos!$A$2:$K$102,Formulas!O30,Formulas!P30+2),"")))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21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IFERROR(INDEX(Datos!$A$2:$K$102,Formulas!S29,RIGHT(Formulas!U29)+2),"")))</f>
        <v/>
      </c>
      <c r="T32" s="121" t="e" cm="1">
        <f t="array" aca="1" ref="T32" ca="1">IF(OR(Formulas!U30=0,Formulas!U30=""),"",HYPERLINK("["&amp;Archivo_Nombre&amp;"]Datos!"&amp;LEFT(SUBSTITUTE(ADDRESS(1,Formulas!U30+2),"$",""))&amp;Formulas!T30+1,
IFERROR(INDEX(Datos!$A$2:$K$102,Formulas!T30,Formulas!U30+2),"")))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21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IFERROR(INDEX(Datos!$A$2:$K$102,Formulas!X29,RIGHT(Formulas!Z29)+2),"")))</f>
        <v/>
      </c>
      <c r="Y32" s="121" t="str" cm="1">
        <f t="array" aca="1" ref="Y32" ca="1">IF(OR(Formulas!Z30=0,Formulas!Z30=""),"",HYPERLINK("["&amp;Archivo_Nombre&amp;"]Datos!"&amp;LEFT(SUBSTITUTE(ADDRESS(1,Formulas!Z30+2),"$",""))&amp;Formulas!Y30+1,
IFERROR(INDEX(Datos!$A$2:$K$102,Formulas!Y30,Formulas!Z30+2),"")))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21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IFERROR(INDEX(Datos!$A$2:$K$102,Formulas!AC29,RIGHT(Formulas!AE29)+2),"")))</f>
        <v/>
      </c>
      <c r="AD32" s="121" t="str" cm="1">
        <f t="array" aca="1" ref="AD32" ca="1">IF(OR(Formulas!AE30=0,Formulas!AE30=""),"",HYPERLINK("["&amp;Archivo_Nombre&amp;"]Datos!"&amp;LEFT(SUBSTITUTE(ADDRESS(1,Formulas!AE30+2),"$",""))&amp;Formulas!AD30+1,
IFERROR(INDEX(Datos!$A$2:$K$102,Formulas!AD30,Formulas!AE30+2),"")))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21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IFERROR(INDEX(Datos!$A$2:$K$102,Formulas!AH29,RIGHT(Formulas!AJ29)+2),"")))</f>
        <v/>
      </c>
      <c r="AI32" s="121" t="str" cm="1">
        <f t="array" aca="1" ref="AI32" ca="1">IF(OR(Formulas!AJ30=0,Formulas!AJ30=""),"",HYPERLINK("["&amp;Archivo_Nombre&amp;"]Datos!"&amp;LEFT(SUBSTITUTE(ADDRESS(1,Formulas!AJ30+2),"$",""))&amp;Formulas!AI30+1,
IFERROR(INDEX(Datos!$A$2:$K$102,Formulas!AI30,Formulas!AJ30+2),"")))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21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IFERROR(INDEX(Datos!$A$2:$K$102,Formulas!AM29,RIGHT(Formulas!AO29)+2),"")))</f>
        <v/>
      </c>
      <c r="AN32" s="121" t="str" cm="1">
        <f t="array" aca="1" ref="AN32" ca="1">IF(OR(Formulas!AO30=0,Formulas!AO30=""),"",HYPERLINK("["&amp;Archivo_Nombre&amp;"]Datos!"&amp;LEFT(SUBSTITUTE(ADDRESS(1,Formulas!AO30+2),"$",""))&amp;Formulas!AN30+1,
IFERROR(INDEX(Datos!$A$2:$K$102,Formulas!AN30,Formulas!AO30+2),"")))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21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IFERROR(INDEX(Datos!$A$2:$K$102,Formulas!AR29,RIGHT(Formulas!AT29)+2),"")))</f>
        <v/>
      </c>
      <c r="AS32" s="121" t="str" cm="1">
        <f t="array" aca="1" ref="AS32" ca="1">IF(OR(Formulas!AT30=0,Formulas!AT30=""),"",HYPERLINK("["&amp;Archivo_Nombre&amp;"]Datos!"&amp;LEFT(SUBSTITUTE(ADDRESS(1,Formulas!AT30+2),"$",""))&amp;Formulas!AS30+1,
IFERROR(INDEX(Datos!$A$2:$K$102,Formulas!AS30,Formulas!AT30+2),"")))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21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IFERROR(INDEX(Datos!$A$2:$K$102,Formulas!AW29,RIGHT(Formulas!AY29)+2),"")))</f>
        <v/>
      </c>
      <c r="AX32" s="121" t="str" cm="1">
        <f t="array" aca="1" ref="AX32" ca="1">IF(OR(Formulas!AY30=0,Formulas!AY30=""),"",HYPERLINK("["&amp;Archivo_Nombre&amp;"]Datos!"&amp;LEFT(SUBSTITUTE(ADDRESS(1,Formulas!AY30+2),"$",""))&amp;Formulas!AX30+1,
IFERROR(INDEX(Datos!$A$2:$K$102,Formulas!AX30,Formulas!AY30+2),"")))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21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IFERROR(INDEX(Datos!$A$2:$K$102,Formulas!D30,RIGHT(Formulas!F30)+2),"")))</f>
        <v/>
      </c>
      <c r="E33" s="121" t="str" cm="1">
        <f t="array" aca="1" ref="E33" ca="1">IF(OR(Formulas!F31=0,Formulas!F31=""),"",HYPERLINK("["&amp;Archivo_Nombre&amp;"]Datos!"&amp;LEFT(SUBSTITUTE(ADDRESS(1,Formulas!F31+2),"$",""))&amp;Formulas!E31+1,
IFERROR(INDEX(Datos!$A$2:$K$102,Formulas!E31,Formulas!F31+2),"")))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66:</v>
      </c>
      <c r="I33" s="121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IFERROR(INDEX(Datos!$A$2:$K$102,Formulas!I30,RIGHT(Formulas!K30)+2),"")))</f>
        <v>REQ008 Exportar Contratos</v>
      </c>
      <c r="J33" s="121" t="e" cm="1">
        <f t="array" aca="1" ref="J33" ca="1">IF(OR(Formulas!K31=0,Formulas!K31=""),"",HYPERLINK("["&amp;Archivo_Nombre&amp;"]Datos!"&amp;LEFT(SUBSTITUTE(ADDRESS(1,Formulas!K31+2),"$",""))&amp;Formulas!J31+1,
IFERROR(INDEX(Datos!$A$2:$K$102,Formulas!J31,Formulas!K31+2),"")))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21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IFERROR(INDEX(Datos!$A$2:$K$102,Formulas!N30,RIGHT(Formulas!P30)+2),"")))</f>
        <v/>
      </c>
      <c r="O33" s="121" t="str" cm="1">
        <f t="array" aca="1" ref="O33" ca="1">IF(OR(Formulas!P31=0,Formulas!P31=""),"",HYPERLINK("["&amp;Archivo_Nombre&amp;"]Datos!"&amp;LEFT(SUBSTITUTE(ADDRESS(1,Formulas!P31+2),"$",""))&amp;Formulas!O31+1,
IFERROR(INDEX(Datos!$A$2:$K$102,Formulas!O31,Formulas!P31+2),"")))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55:</v>
      </c>
      <c r="S33" s="121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IFERROR(INDEX(Datos!$A$2:$K$102,Formulas!S30,RIGHT(Formulas!U30)+2),"")))</f>
        <v>REQ006-1Permitir seleccionar un contrato desde la interfaz.</v>
      </c>
      <c r="T33" s="121" t="e" cm="1">
        <f t="array" aca="1" ref="T33" ca="1">IF(OR(Formulas!U31=0,Formulas!U31=""),"",HYPERLINK("["&amp;Archivo_Nombre&amp;"]Datos!"&amp;LEFT(SUBSTITUTE(ADDRESS(1,Formulas!U31+2),"$",""))&amp;Formulas!T31+1,
IFERROR(INDEX(Datos!$A$2:$K$102,Formulas!T31,Formulas!U31+2),"")))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21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IFERROR(INDEX(Datos!$A$2:$K$102,Formulas!X30,RIGHT(Formulas!Z30)+2),"")))</f>
        <v/>
      </c>
      <c r="Y33" s="121" t="str" cm="1">
        <f t="array" aca="1" ref="Y33" ca="1">IF(OR(Formulas!Z31=0,Formulas!Z31=""),"",HYPERLINK("["&amp;Archivo_Nombre&amp;"]Datos!"&amp;LEFT(SUBSTITUTE(ADDRESS(1,Formulas!Z31+2),"$",""))&amp;Formulas!Y31+1,
IFERROR(INDEX(Datos!$A$2:$K$102,Formulas!Y31,Formulas!Z31+2),"")))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21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IFERROR(INDEX(Datos!$A$2:$K$102,Formulas!AC30,RIGHT(Formulas!AE30)+2),"")))</f>
        <v/>
      </c>
      <c r="AD33" s="121" t="str" cm="1">
        <f t="array" aca="1" ref="AD33" ca="1">IF(OR(Formulas!AE31=0,Formulas!AE31=""),"",HYPERLINK("["&amp;Archivo_Nombre&amp;"]Datos!"&amp;LEFT(SUBSTITUTE(ADDRESS(1,Formulas!AE31+2),"$",""))&amp;Formulas!AD31+1,
IFERROR(INDEX(Datos!$A$2:$K$102,Formulas!AD31,Formulas!AE31+2),"")))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21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IFERROR(INDEX(Datos!$A$2:$K$102,Formulas!AH30,RIGHT(Formulas!AJ30)+2),"")))</f>
        <v/>
      </c>
      <c r="AI33" s="121" t="str" cm="1">
        <f t="array" aca="1" ref="AI33" ca="1">IF(OR(Formulas!AJ31=0,Formulas!AJ31=""),"",HYPERLINK("["&amp;Archivo_Nombre&amp;"]Datos!"&amp;LEFT(SUBSTITUTE(ADDRESS(1,Formulas!AJ31+2),"$",""))&amp;Formulas!AI31+1,
IFERROR(INDEX(Datos!$A$2:$K$102,Formulas!AI31,Formulas!AJ31+2),"")))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21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IFERROR(INDEX(Datos!$A$2:$K$102,Formulas!AM30,RIGHT(Formulas!AO30)+2),"")))</f>
        <v/>
      </c>
      <c r="AN33" s="121" t="str" cm="1">
        <f t="array" aca="1" ref="AN33" ca="1">IF(OR(Formulas!AO31=0,Formulas!AO31=""),"",HYPERLINK("["&amp;Archivo_Nombre&amp;"]Datos!"&amp;LEFT(SUBSTITUTE(ADDRESS(1,Formulas!AO31+2),"$",""))&amp;Formulas!AN31+1,
IFERROR(INDEX(Datos!$A$2:$K$102,Formulas!AN31,Formulas!AO31+2),"")))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21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IFERROR(INDEX(Datos!$A$2:$K$102,Formulas!AR30,RIGHT(Formulas!AT30)+2),"")))</f>
        <v/>
      </c>
      <c r="AS33" s="121" t="str" cm="1">
        <f t="array" aca="1" ref="AS33" ca="1">IF(OR(Formulas!AT31=0,Formulas!AT31=""),"",HYPERLINK("["&amp;Archivo_Nombre&amp;"]Datos!"&amp;LEFT(SUBSTITUTE(ADDRESS(1,Formulas!AT31+2),"$",""))&amp;Formulas!AS31+1,
IFERROR(INDEX(Datos!$A$2:$K$102,Formulas!AS31,Formulas!AT31+2),"")))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21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IFERROR(INDEX(Datos!$A$2:$K$102,Formulas!AW30,RIGHT(Formulas!AY30)+2),"")))</f>
        <v/>
      </c>
      <c r="AX33" s="121" t="str" cm="1">
        <f t="array" aca="1" ref="AX33" ca="1">IF(OR(Formulas!AY31=0,Formulas!AY31=""),"",HYPERLINK("["&amp;Archivo_Nombre&amp;"]Datos!"&amp;LEFT(SUBSTITUTE(ADDRESS(1,Formulas!AY31+2),"$",""))&amp;Formulas!AX31+1,
IFERROR(INDEX(Datos!$A$2:$K$102,Formulas!AX31,Formulas!AY31+2),"")))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21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IFERROR(INDEX(Datos!$A$2:$K$102,Formulas!D31,RIGHT(Formulas!F31)+2),"")))</f>
        <v/>
      </c>
      <c r="E34" s="121" t="str" cm="1">
        <f t="array" aca="1" ref="E34" ca="1">IF(OR(Formulas!F32=0,Formulas!F32=""),"",HYPERLINK("["&amp;Archivo_Nombre&amp;"]Datos!"&amp;LEFT(SUBSTITUTE(ADDRESS(1,Formulas!F32+2),"$",""))&amp;Formulas!E32+1,
IFERROR(INDEX(Datos!$A$2:$K$102,Formulas!E32,Formulas!F32+2),"")))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21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IFERROR(INDEX(Datos!$A$2:$K$102,Formulas!I31,RIGHT(Formulas!K31)+2),"")))</f>
        <v>0</v>
      </c>
      <c r="J34" s="121" t="e" cm="1">
        <f t="array" aca="1" ref="J34" ca="1">IF(OR(Formulas!K32=0,Formulas!K32=""),"",HYPERLINK("["&amp;Archivo_Nombre&amp;"]Datos!"&amp;LEFT(SUBSTITUTE(ADDRESS(1,Formulas!K32+2),"$",""))&amp;Formulas!J32+1,
IFERROR(INDEX(Datos!$A$2:$K$102,Formulas!J32,Formulas!K32+2),"")))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21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IFERROR(INDEX(Datos!$A$2:$K$102,Formulas!N31,RIGHT(Formulas!P31)+2),"")))</f>
        <v/>
      </c>
      <c r="O34" s="121" t="str" cm="1">
        <f t="array" aca="1" ref="O34" ca="1">IF(OR(Formulas!P32=0,Formulas!P32=""),"",HYPERLINK("["&amp;Archivo_Nombre&amp;"]Datos!"&amp;LEFT(SUBSTITUTE(ADDRESS(1,Formulas!P32+2),"$",""))&amp;Formulas!O32+1,
IFERROR(INDEX(Datos!$A$2:$K$102,Formulas!O32,Formulas!P32+2),"")))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21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IFERROR(INDEX(Datos!$A$2:$K$102,Formulas!S31,RIGHT(Formulas!U31)+2),"")))</f>
        <v>Implementar boton de seleccion a un contrato.</v>
      </c>
      <c r="T34" s="121" t="e" cm="1">
        <f t="array" aca="1" ref="T34" ca="1">IF(OR(Formulas!U32=0,Formulas!U32=""),"",HYPERLINK("["&amp;Archivo_Nombre&amp;"]Datos!"&amp;LEFT(SUBSTITUTE(ADDRESS(1,Formulas!U32+2),"$",""))&amp;Formulas!T32+1,
IFERROR(INDEX(Datos!$A$2:$K$102,Formulas!T32,Formulas!U32+2),"")))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21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IFERROR(INDEX(Datos!$A$2:$K$102,Formulas!X31,RIGHT(Formulas!Z31)+2),"")))</f>
        <v/>
      </c>
      <c r="Y34" s="121" t="str" cm="1">
        <f t="array" aca="1" ref="Y34" ca="1">IF(OR(Formulas!Z32=0,Formulas!Z32=""),"",HYPERLINK("["&amp;Archivo_Nombre&amp;"]Datos!"&amp;LEFT(SUBSTITUTE(ADDRESS(1,Formulas!Z32+2),"$",""))&amp;Formulas!Y32+1,
IFERROR(INDEX(Datos!$A$2:$K$102,Formulas!Y32,Formulas!Z32+2),"")))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21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IFERROR(INDEX(Datos!$A$2:$K$102,Formulas!AC31,RIGHT(Formulas!AE31)+2),"")))</f>
        <v/>
      </c>
      <c r="AD34" s="121" t="str" cm="1">
        <f t="array" aca="1" ref="AD34" ca="1">IF(OR(Formulas!AE32=0,Formulas!AE32=""),"",HYPERLINK("["&amp;Archivo_Nombre&amp;"]Datos!"&amp;LEFT(SUBSTITUTE(ADDRESS(1,Formulas!AE32+2),"$",""))&amp;Formulas!AD32+1,
IFERROR(INDEX(Datos!$A$2:$K$102,Formulas!AD32,Formulas!AE32+2),"")))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21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IFERROR(INDEX(Datos!$A$2:$K$102,Formulas!AH31,RIGHT(Formulas!AJ31)+2),"")))</f>
        <v/>
      </c>
      <c r="AI34" s="121" t="str" cm="1">
        <f t="array" aca="1" ref="AI34" ca="1">IF(OR(Formulas!AJ32=0,Formulas!AJ32=""),"",HYPERLINK("["&amp;Archivo_Nombre&amp;"]Datos!"&amp;LEFT(SUBSTITUTE(ADDRESS(1,Formulas!AJ32+2),"$",""))&amp;Formulas!AI32+1,
IFERROR(INDEX(Datos!$A$2:$K$102,Formulas!AI32,Formulas!AJ32+2),"")))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21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IFERROR(INDEX(Datos!$A$2:$K$102,Formulas!AM31,RIGHT(Formulas!AO31)+2),"")))</f>
        <v/>
      </c>
      <c r="AN34" s="121" t="str" cm="1">
        <f t="array" aca="1" ref="AN34" ca="1">IF(OR(Formulas!AO32=0,Formulas!AO32=""),"",HYPERLINK("["&amp;Archivo_Nombre&amp;"]Datos!"&amp;LEFT(SUBSTITUTE(ADDRESS(1,Formulas!AO32+2),"$",""))&amp;Formulas!AN32+1,
IFERROR(INDEX(Datos!$A$2:$K$102,Formulas!AN32,Formulas!AO32+2),"")))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21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IFERROR(INDEX(Datos!$A$2:$K$102,Formulas!AR31,RIGHT(Formulas!AT31)+2),"")))</f>
        <v/>
      </c>
      <c r="AS34" s="121" t="str" cm="1">
        <f t="array" aca="1" ref="AS34" ca="1">IF(OR(Formulas!AT32=0,Formulas!AT32=""),"",HYPERLINK("["&amp;Archivo_Nombre&amp;"]Datos!"&amp;LEFT(SUBSTITUTE(ADDRESS(1,Formulas!AT32+2),"$",""))&amp;Formulas!AS32+1,
IFERROR(INDEX(Datos!$A$2:$K$102,Formulas!AS32,Formulas!AT32+2),"")))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21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IFERROR(INDEX(Datos!$A$2:$K$102,Formulas!AW31,RIGHT(Formulas!AY31)+2),"")))</f>
        <v/>
      </c>
      <c r="AX34" s="121" t="str" cm="1">
        <f t="array" aca="1" ref="AX34" ca="1">IF(OR(Formulas!AY32=0,Formulas!AY32=""),"",HYPERLINK("["&amp;Archivo_Nombre&amp;"]Datos!"&amp;LEFT(SUBSTITUTE(ADDRESS(1,Formulas!AY32+2),"$",""))&amp;Formulas!AX32+1,
IFERROR(INDEX(Datos!$A$2:$K$102,Formulas!AX32,Formulas!AY32+2),"")))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21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IFERROR(INDEX(Datos!$A$2:$K$102,Formulas!D32,RIGHT(Formulas!F32)+2),"")))</f>
        <v/>
      </c>
      <c r="E35" s="121" t="str" cm="1">
        <f t="array" aca="1" ref="E35" ca="1">IF(OR(Formulas!F33=0,Formulas!F33=""),"",HYPERLINK("["&amp;Archivo_Nombre&amp;"]Datos!"&amp;LEFT(SUBSTITUTE(ADDRESS(1,Formulas!F33+2),"$",""))&amp;Formulas!E33+1,
IFERROR(INDEX(Datos!$A$2:$K$102,Formulas!E33,Formulas!F33+2),"")))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21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IFERROR(INDEX(Datos!$A$2:$K$102,Formulas!I32,RIGHT(Formulas!K32)+2),"")))</f>
        <v>46003</v>
      </c>
      <c r="J35" s="121" t="e" cm="1">
        <f t="array" aca="1" ref="J35" ca="1">IF(OR(Formulas!K33=0,Formulas!K33=""),"",HYPERLINK("["&amp;Archivo_Nombre&amp;"]Datos!"&amp;LEFT(SUBSTITUTE(ADDRESS(1,Formulas!K33+2),"$",""))&amp;Formulas!J33+1,
IFERROR(INDEX(Datos!$A$2:$K$102,Formulas!J33,Formulas!K33+2),"")))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21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IFERROR(INDEX(Datos!$A$2:$K$102,Formulas!N32,RIGHT(Formulas!P32)+2),"")))</f>
        <v/>
      </c>
      <c r="O35" s="121" t="str" cm="1">
        <f t="array" aca="1" ref="O35" ca="1">IF(OR(Formulas!P33=0,Formulas!P33=""),"",HYPERLINK("["&amp;Archivo_Nombre&amp;"]Datos!"&amp;LEFT(SUBSTITUTE(ADDRESS(1,Formulas!P33+2),"$",""))&amp;Formulas!O33+1,
IFERROR(INDEX(Datos!$A$2:$K$102,Formulas!O33,Formulas!P33+2),"")))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21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IFERROR(INDEX(Datos!$A$2:$K$102,Formulas!S32,RIGHT(Formulas!U32)+2),"")))</f>
        <v>45994</v>
      </c>
      <c r="T35" s="121" t="e" cm="1">
        <f t="array" aca="1" ref="T35" ca="1">IF(OR(Formulas!U33=0,Formulas!U33=""),"",HYPERLINK("["&amp;Archivo_Nombre&amp;"]Datos!"&amp;LEFT(SUBSTITUTE(ADDRESS(1,Formulas!U33+2),"$",""))&amp;Formulas!T33+1,
IFERROR(INDEX(Datos!$A$2:$K$102,Formulas!T33,Formulas!U33+2),"")))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21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IFERROR(INDEX(Datos!$A$2:$K$102,Formulas!X32,RIGHT(Formulas!Z32)+2),"")))</f>
        <v/>
      </c>
      <c r="Y35" s="121" t="str" cm="1">
        <f t="array" aca="1" ref="Y35" ca="1">IF(OR(Formulas!Z33=0,Formulas!Z33=""),"",HYPERLINK("["&amp;Archivo_Nombre&amp;"]Datos!"&amp;LEFT(SUBSTITUTE(ADDRESS(1,Formulas!Z33+2),"$",""))&amp;Formulas!Y33+1,
IFERROR(INDEX(Datos!$A$2:$K$102,Formulas!Y33,Formulas!Z33+2),"")))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21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IFERROR(INDEX(Datos!$A$2:$K$102,Formulas!AC32,RIGHT(Formulas!AE32)+2),"")))</f>
        <v/>
      </c>
      <c r="AD35" s="121" t="str" cm="1">
        <f t="array" aca="1" ref="AD35" ca="1">IF(OR(Formulas!AE33=0,Formulas!AE33=""),"",HYPERLINK("["&amp;Archivo_Nombre&amp;"]Datos!"&amp;LEFT(SUBSTITUTE(ADDRESS(1,Formulas!AE33+2),"$",""))&amp;Formulas!AD33+1,
IFERROR(INDEX(Datos!$A$2:$K$102,Formulas!AD33,Formulas!AE33+2),"")))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21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IFERROR(INDEX(Datos!$A$2:$K$102,Formulas!AH32,RIGHT(Formulas!AJ32)+2),"")))</f>
        <v/>
      </c>
      <c r="AI35" s="121" t="str" cm="1">
        <f t="array" aca="1" ref="AI35" ca="1">IF(OR(Formulas!AJ33=0,Formulas!AJ33=""),"",HYPERLINK("["&amp;Archivo_Nombre&amp;"]Datos!"&amp;LEFT(SUBSTITUTE(ADDRESS(1,Formulas!AJ33+2),"$",""))&amp;Formulas!AI33+1,
IFERROR(INDEX(Datos!$A$2:$K$102,Formulas!AI33,Formulas!AJ33+2),"")))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21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IFERROR(INDEX(Datos!$A$2:$K$102,Formulas!AM32,RIGHT(Formulas!AO32)+2),"")))</f>
        <v/>
      </c>
      <c r="AN35" s="121" t="str" cm="1">
        <f t="array" aca="1" ref="AN35" ca="1">IF(OR(Formulas!AO33=0,Formulas!AO33=""),"",HYPERLINK("["&amp;Archivo_Nombre&amp;"]Datos!"&amp;LEFT(SUBSTITUTE(ADDRESS(1,Formulas!AO33+2),"$",""))&amp;Formulas!AN33+1,
IFERROR(INDEX(Datos!$A$2:$K$102,Formulas!AN33,Formulas!AO33+2),"")))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21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IFERROR(INDEX(Datos!$A$2:$K$102,Formulas!AR32,RIGHT(Formulas!AT32)+2),"")))</f>
        <v/>
      </c>
      <c r="AS35" s="121" t="str" cm="1">
        <f t="array" aca="1" ref="AS35" ca="1">IF(OR(Formulas!AT33=0,Formulas!AT33=""),"",HYPERLINK("["&amp;Archivo_Nombre&amp;"]Datos!"&amp;LEFT(SUBSTITUTE(ADDRESS(1,Formulas!AT33+2),"$",""))&amp;Formulas!AS33+1,
IFERROR(INDEX(Datos!$A$2:$K$102,Formulas!AS33,Formulas!AT33+2),"")))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21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IFERROR(INDEX(Datos!$A$2:$K$102,Formulas!AW32,RIGHT(Formulas!AY32)+2),"")))</f>
        <v/>
      </c>
      <c r="AX35" s="121" t="str" cm="1">
        <f t="array" aca="1" ref="AX35" ca="1">IF(OR(Formulas!AY33=0,Formulas!AY33=""),"",HYPERLINK("["&amp;Archivo_Nombre&amp;"]Datos!"&amp;LEFT(SUBSTITUTE(ADDRESS(1,Formulas!AY33+2),"$",""))&amp;Formulas!AX33+1,
IFERROR(INDEX(Datos!$A$2:$K$102,Formulas!AX33,Formulas!AY33+2),"")))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21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IFERROR(INDEX(Datos!$A$2:$K$102,Formulas!D33,RIGHT(Formulas!F33)+2),"")))</f>
        <v/>
      </c>
      <c r="E36" s="121" t="str" cm="1">
        <f t="array" aca="1" ref="E36" ca="1">IF(OR(Formulas!F34=0,Formulas!F34=""),"",HYPERLINK("["&amp;Archivo_Nombre&amp;"]Datos!"&amp;LEFT(SUBSTITUTE(ADDRESS(1,Formulas!F34+2),"$",""))&amp;Formulas!E34+1,
IFERROR(INDEX(Datos!$A$2:$K$102,Formulas!E34,Formulas!F34+2),"")))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21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IFERROR(INDEX(Datos!$A$2:$K$102,Formulas!I33,RIGHT(Formulas!K33)+2),"")))</f>
        <v>46043</v>
      </c>
      <c r="J36" s="121" t="e" cm="1">
        <f t="array" aca="1" ref="J36" ca="1">IF(OR(Formulas!K34=0,Formulas!K34=""),"",HYPERLINK("["&amp;Archivo_Nombre&amp;"]Datos!"&amp;LEFT(SUBSTITUTE(ADDRESS(1,Formulas!K34+2),"$",""))&amp;Formulas!J34+1,
IFERROR(INDEX(Datos!$A$2:$K$102,Formulas!J34,Formulas!K34+2),"")))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21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IFERROR(INDEX(Datos!$A$2:$K$102,Formulas!N33,RIGHT(Formulas!P33)+2),"")))</f>
        <v/>
      </c>
      <c r="O36" s="121" t="str" cm="1">
        <f t="array" aca="1" ref="O36" ca="1">IF(OR(Formulas!P34=0,Formulas!P34=""),"",HYPERLINK("["&amp;Archivo_Nombre&amp;"]Datos!"&amp;LEFT(SUBSTITUTE(ADDRESS(1,Formulas!P34+2),"$",""))&amp;Formulas!O34+1,
IFERROR(INDEX(Datos!$A$2:$K$102,Formulas!O34,Formulas!P34+2),"")))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21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IFERROR(INDEX(Datos!$A$2:$K$102,Formulas!S33,RIGHT(Formulas!U33)+2),"")))</f>
        <v>45999</v>
      </c>
      <c r="T36" s="121" t="e" cm="1">
        <f t="array" aca="1" ref="T36" ca="1">IF(OR(Formulas!U34=0,Formulas!U34=""),"",HYPERLINK("["&amp;Archivo_Nombre&amp;"]Datos!"&amp;LEFT(SUBSTITUTE(ADDRESS(1,Formulas!U34+2),"$",""))&amp;Formulas!T34+1,
IFERROR(INDEX(Datos!$A$2:$K$102,Formulas!T34,Formulas!U34+2),"")))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21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IFERROR(INDEX(Datos!$A$2:$K$102,Formulas!X33,RIGHT(Formulas!Z33)+2),"")))</f>
        <v/>
      </c>
      <c r="Y36" s="121" t="str" cm="1">
        <f t="array" aca="1" ref="Y36" ca="1">IF(OR(Formulas!Z34=0,Formulas!Z34=""),"",HYPERLINK("["&amp;Archivo_Nombre&amp;"]Datos!"&amp;LEFT(SUBSTITUTE(ADDRESS(1,Formulas!Z34+2),"$",""))&amp;Formulas!Y34+1,
IFERROR(INDEX(Datos!$A$2:$K$102,Formulas!Y34,Formulas!Z34+2),"")))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21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IFERROR(INDEX(Datos!$A$2:$K$102,Formulas!AC33,RIGHT(Formulas!AE33)+2),"")))</f>
        <v/>
      </c>
      <c r="AD36" s="121" t="str" cm="1">
        <f t="array" aca="1" ref="AD36" ca="1">IF(OR(Formulas!AE34=0,Formulas!AE34=""),"",HYPERLINK("["&amp;Archivo_Nombre&amp;"]Datos!"&amp;LEFT(SUBSTITUTE(ADDRESS(1,Formulas!AE34+2),"$",""))&amp;Formulas!AD34+1,
IFERROR(INDEX(Datos!$A$2:$K$102,Formulas!AD34,Formulas!AE34+2),"")))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21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IFERROR(INDEX(Datos!$A$2:$K$102,Formulas!AH33,RIGHT(Formulas!AJ33)+2),"")))</f>
        <v/>
      </c>
      <c r="AI36" s="121" t="str" cm="1">
        <f t="array" aca="1" ref="AI36" ca="1">IF(OR(Formulas!AJ34=0,Formulas!AJ34=""),"",HYPERLINK("["&amp;Archivo_Nombre&amp;"]Datos!"&amp;LEFT(SUBSTITUTE(ADDRESS(1,Formulas!AJ34+2),"$",""))&amp;Formulas!AI34+1,
IFERROR(INDEX(Datos!$A$2:$K$102,Formulas!AI34,Formulas!AJ34+2),"")))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21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IFERROR(INDEX(Datos!$A$2:$K$102,Formulas!AM33,RIGHT(Formulas!AO33)+2),"")))</f>
        <v/>
      </c>
      <c r="AN36" s="121" t="str" cm="1">
        <f t="array" aca="1" ref="AN36" ca="1">IF(OR(Formulas!AO34=0,Formulas!AO34=""),"",HYPERLINK("["&amp;Archivo_Nombre&amp;"]Datos!"&amp;LEFT(SUBSTITUTE(ADDRESS(1,Formulas!AO34+2),"$",""))&amp;Formulas!AN34+1,
IFERROR(INDEX(Datos!$A$2:$K$102,Formulas!AN34,Formulas!AO34+2),"")))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21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IFERROR(INDEX(Datos!$A$2:$K$102,Formulas!AR33,RIGHT(Formulas!AT33)+2),"")))</f>
        <v/>
      </c>
      <c r="AS36" s="121" t="str" cm="1">
        <f t="array" aca="1" ref="AS36" ca="1">IF(OR(Formulas!AT34=0,Formulas!AT34=""),"",HYPERLINK("["&amp;Archivo_Nombre&amp;"]Datos!"&amp;LEFT(SUBSTITUTE(ADDRESS(1,Formulas!AT34+2),"$",""))&amp;Formulas!AS34+1,
IFERROR(INDEX(Datos!$A$2:$K$102,Formulas!AS34,Formulas!AT34+2),"")))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21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IFERROR(INDEX(Datos!$A$2:$K$102,Formulas!AW33,RIGHT(Formulas!AY33)+2),"")))</f>
        <v/>
      </c>
      <c r="AX36" s="121" t="str" cm="1">
        <f t="array" aca="1" ref="AX36" ca="1">IF(OR(Formulas!AY34=0,Formulas!AY34=""),"",HYPERLINK("["&amp;Archivo_Nombre&amp;"]Datos!"&amp;LEFT(SUBSTITUTE(ADDRESS(1,Formulas!AY34+2),"$",""))&amp;Formulas!AX34+1,
IFERROR(INDEX(Datos!$A$2:$K$102,Formulas!AX34,Formulas!AY34+2),"")))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21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IFERROR(INDEX(Datos!$A$2:$K$102,Formulas!D34,RIGHT(Formulas!F34)+2),"")))</f>
        <v/>
      </c>
      <c r="E37" s="121" t="str" cm="1">
        <f t="array" aca="1" ref="E37" ca="1">IF(OR(Formulas!F35=0,Formulas!F35=""),"",HYPERLINK("["&amp;Archivo_Nombre&amp;"]Datos!"&amp;LEFT(SUBSTITUTE(ADDRESS(1,Formulas!F35+2),"$",""))&amp;Formulas!E35+1,
IFERROR(INDEX(Datos!$A$2:$K$102,Formulas!E35,Formulas!F35+2),"")))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21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IFERROR(INDEX(Datos!$A$2:$K$102,Formulas!I34,RIGHT(Formulas!K34)+2),"")))</f>
        <v>46043</v>
      </c>
      <c r="J37" s="121" t="e" cm="1">
        <f t="array" aca="1" ref="J37" ca="1">IF(OR(Formulas!K35=0,Formulas!K35=""),"",HYPERLINK("["&amp;Archivo_Nombre&amp;"]Datos!"&amp;LEFT(SUBSTITUTE(ADDRESS(1,Formulas!K35+2),"$",""))&amp;Formulas!J35+1,
IFERROR(INDEX(Datos!$A$2:$K$102,Formulas!J35,Formulas!K35+2),"")))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21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IFERROR(INDEX(Datos!$A$2:$K$102,Formulas!N34,RIGHT(Formulas!P34)+2),"")))</f>
        <v/>
      </c>
      <c r="O37" s="121" t="str" cm="1">
        <f t="array" aca="1" ref="O37" ca="1">IF(OR(Formulas!P35=0,Formulas!P35=""),"",HYPERLINK("["&amp;Archivo_Nombre&amp;"]Datos!"&amp;LEFT(SUBSTITUTE(ADDRESS(1,Formulas!P35+2),"$",""))&amp;Formulas!O35+1,
IFERROR(INDEX(Datos!$A$2:$K$102,Formulas!O35,Formulas!P35+2),"")))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21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IFERROR(INDEX(Datos!$A$2:$K$102,Formulas!S34,RIGHT(Formulas!U34)+2),"")))</f>
        <v>45999</v>
      </c>
      <c r="T37" s="121" t="e" cm="1">
        <f t="array" aca="1" ref="T37" ca="1">IF(OR(Formulas!U35=0,Formulas!U35=""),"",HYPERLINK("["&amp;Archivo_Nombre&amp;"]Datos!"&amp;LEFT(SUBSTITUTE(ADDRESS(1,Formulas!U35+2),"$",""))&amp;Formulas!T35+1,
IFERROR(INDEX(Datos!$A$2:$K$102,Formulas!T35,Formulas!U35+2),"")))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21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IFERROR(INDEX(Datos!$A$2:$K$102,Formulas!X34,RIGHT(Formulas!Z34)+2),"")))</f>
        <v/>
      </c>
      <c r="Y37" s="121" t="str" cm="1">
        <f t="array" aca="1" ref="Y37" ca="1">IF(OR(Formulas!Z35=0,Formulas!Z35=""),"",HYPERLINK("["&amp;Archivo_Nombre&amp;"]Datos!"&amp;LEFT(SUBSTITUTE(ADDRESS(1,Formulas!Z35+2),"$",""))&amp;Formulas!Y35+1,
IFERROR(INDEX(Datos!$A$2:$K$102,Formulas!Y35,Formulas!Z35+2),"")))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21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IFERROR(INDEX(Datos!$A$2:$K$102,Formulas!AC34,RIGHT(Formulas!AE34)+2),"")))</f>
        <v/>
      </c>
      <c r="AD37" s="121" t="str" cm="1">
        <f t="array" aca="1" ref="AD37" ca="1">IF(OR(Formulas!AE35=0,Formulas!AE35=""),"",HYPERLINK("["&amp;Archivo_Nombre&amp;"]Datos!"&amp;LEFT(SUBSTITUTE(ADDRESS(1,Formulas!AE35+2),"$",""))&amp;Formulas!AD35+1,
IFERROR(INDEX(Datos!$A$2:$K$102,Formulas!AD35,Formulas!AE35+2),"")))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21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IFERROR(INDEX(Datos!$A$2:$K$102,Formulas!AH34,RIGHT(Formulas!AJ34)+2),"")))</f>
        <v/>
      </c>
      <c r="AI37" s="121" t="str" cm="1">
        <f t="array" aca="1" ref="AI37" ca="1">IF(OR(Formulas!AJ35=0,Formulas!AJ35=""),"",HYPERLINK("["&amp;Archivo_Nombre&amp;"]Datos!"&amp;LEFT(SUBSTITUTE(ADDRESS(1,Formulas!AJ35+2),"$",""))&amp;Formulas!AI35+1,
IFERROR(INDEX(Datos!$A$2:$K$102,Formulas!AI35,Formulas!AJ35+2),"")))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21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IFERROR(INDEX(Datos!$A$2:$K$102,Formulas!AM34,RIGHT(Formulas!AO34)+2),"")))</f>
        <v/>
      </c>
      <c r="AN37" s="121" t="str" cm="1">
        <f t="array" aca="1" ref="AN37" ca="1">IF(OR(Formulas!AO35=0,Formulas!AO35=""),"",HYPERLINK("["&amp;Archivo_Nombre&amp;"]Datos!"&amp;LEFT(SUBSTITUTE(ADDRESS(1,Formulas!AO35+2),"$",""))&amp;Formulas!AN35+1,
IFERROR(INDEX(Datos!$A$2:$K$102,Formulas!AN35,Formulas!AO35+2),"")))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21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IFERROR(INDEX(Datos!$A$2:$K$102,Formulas!AR34,RIGHT(Formulas!AT34)+2),"")))</f>
        <v/>
      </c>
      <c r="AS37" s="121" t="str" cm="1">
        <f t="array" aca="1" ref="AS37" ca="1">IF(OR(Formulas!AT35=0,Formulas!AT35=""),"",HYPERLINK("["&amp;Archivo_Nombre&amp;"]Datos!"&amp;LEFT(SUBSTITUTE(ADDRESS(1,Formulas!AT35+2),"$",""))&amp;Formulas!AS35+1,
IFERROR(INDEX(Datos!$A$2:$K$102,Formulas!AS35,Formulas!AT35+2),"")))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21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IFERROR(INDEX(Datos!$A$2:$K$102,Formulas!AW34,RIGHT(Formulas!AY34)+2),"")))</f>
        <v/>
      </c>
      <c r="AX37" s="121" t="str" cm="1">
        <f t="array" aca="1" ref="AX37" ca="1">IF(OR(Formulas!AY35=0,Formulas!AY35=""),"",HYPERLINK("["&amp;Archivo_Nombre&amp;"]Datos!"&amp;LEFT(SUBSTITUTE(ADDRESS(1,Formulas!AY35+2),"$",""))&amp;Formulas!AX35+1,
IFERROR(INDEX(Datos!$A$2:$K$102,Formulas!AX35,Formulas!AY35+2),"")))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21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IFERROR(INDEX(Datos!$A$2:$K$102,Formulas!D35,RIGHT(Formulas!F35)+2),"")))</f>
        <v/>
      </c>
      <c r="E38" s="121" t="str" cm="1">
        <f t="array" aca="1" ref="E38" ca="1">IF(OR(Formulas!F36=0,Formulas!F36=""),"",HYPERLINK("["&amp;Archivo_Nombre&amp;"]Datos!"&amp;LEFT(SUBSTITUTE(ADDRESS(1,Formulas!F36+2),"$",""))&amp;Formulas!E36+1,
IFERROR(INDEX(Datos!$A$2:$K$102,Formulas!E36,Formulas!F36+2),"")))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21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IFERROR(INDEX(Datos!$A$2:$K$102,Formulas!I35,RIGHT(Formulas!K35)+2),"")))</f>
        <v>41 días</v>
      </c>
      <c r="J38" s="121" t="e" cm="1">
        <f t="array" aca="1" ref="J38" ca="1">IF(OR(Formulas!K36=0,Formulas!K36=""),"",HYPERLINK("["&amp;Archivo_Nombre&amp;"]Datos!"&amp;LEFT(SUBSTITUTE(ADDRESS(1,Formulas!K36+2),"$",""))&amp;Formulas!J36+1,
IFERROR(INDEX(Datos!$A$2:$K$102,Formulas!J36,Formulas!K36+2),"")))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21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IFERROR(INDEX(Datos!$A$2:$K$102,Formulas!N35,RIGHT(Formulas!P35)+2),"")))</f>
        <v/>
      </c>
      <c r="O38" s="121" t="str" cm="1">
        <f t="array" aca="1" ref="O38" ca="1">IF(OR(Formulas!P36=0,Formulas!P36=""),"",HYPERLINK("["&amp;Archivo_Nombre&amp;"]Datos!"&amp;LEFT(SUBSTITUTE(ADDRESS(1,Formulas!P36+2),"$",""))&amp;Formulas!O36+1,
IFERROR(INDEX(Datos!$A$2:$K$102,Formulas!O36,Formulas!P36+2),"")))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21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IFERROR(INDEX(Datos!$A$2:$K$102,Formulas!S35,RIGHT(Formulas!U35)+2),"")))</f>
        <v>6 días</v>
      </c>
      <c r="T38" s="121" t="e" cm="1">
        <f t="array" aca="1" ref="T38" ca="1">IF(OR(Formulas!U36=0,Formulas!U36=""),"",HYPERLINK("["&amp;Archivo_Nombre&amp;"]Datos!"&amp;LEFT(SUBSTITUTE(ADDRESS(1,Formulas!U36+2),"$",""))&amp;Formulas!T36+1,
IFERROR(INDEX(Datos!$A$2:$K$102,Formulas!T36,Formulas!U36+2),"")))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21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IFERROR(INDEX(Datos!$A$2:$K$102,Formulas!X35,RIGHT(Formulas!Z35)+2),"")))</f>
        <v/>
      </c>
      <c r="Y38" s="121" t="str" cm="1">
        <f t="array" aca="1" ref="Y38" ca="1">IF(OR(Formulas!Z36=0,Formulas!Z36=""),"",HYPERLINK("["&amp;Archivo_Nombre&amp;"]Datos!"&amp;LEFT(SUBSTITUTE(ADDRESS(1,Formulas!Z36+2),"$",""))&amp;Formulas!Y36+1,
IFERROR(INDEX(Datos!$A$2:$K$102,Formulas!Y36,Formulas!Z36+2),"")))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21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IFERROR(INDEX(Datos!$A$2:$K$102,Formulas!AC35,RIGHT(Formulas!AE35)+2),"")))</f>
        <v/>
      </c>
      <c r="AD38" s="121" t="str" cm="1">
        <f t="array" aca="1" ref="AD38" ca="1">IF(OR(Formulas!AE36=0,Formulas!AE36=""),"",HYPERLINK("["&amp;Archivo_Nombre&amp;"]Datos!"&amp;LEFT(SUBSTITUTE(ADDRESS(1,Formulas!AE36+2),"$",""))&amp;Formulas!AD36+1,
IFERROR(INDEX(Datos!$A$2:$K$102,Formulas!AD36,Formulas!AE36+2),"")))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21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IFERROR(INDEX(Datos!$A$2:$K$102,Formulas!AH35,RIGHT(Formulas!AJ35)+2),"")))</f>
        <v/>
      </c>
      <c r="AI38" s="121" t="str" cm="1">
        <f t="array" aca="1" ref="AI38" ca="1">IF(OR(Formulas!AJ36=0,Formulas!AJ36=""),"",HYPERLINK("["&amp;Archivo_Nombre&amp;"]Datos!"&amp;LEFT(SUBSTITUTE(ADDRESS(1,Formulas!AJ36+2),"$",""))&amp;Formulas!AI36+1,
IFERROR(INDEX(Datos!$A$2:$K$102,Formulas!AI36,Formulas!AJ36+2),"")))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21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IFERROR(INDEX(Datos!$A$2:$K$102,Formulas!AM35,RIGHT(Formulas!AO35)+2),"")))</f>
        <v/>
      </c>
      <c r="AN38" s="121" t="str" cm="1">
        <f t="array" aca="1" ref="AN38" ca="1">IF(OR(Formulas!AO36=0,Formulas!AO36=""),"",HYPERLINK("["&amp;Archivo_Nombre&amp;"]Datos!"&amp;LEFT(SUBSTITUTE(ADDRESS(1,Formulas!AO36+2),"$",""))&amp;Formulas!AN36+1,
IFERROR(INDEX(Datos!$A$2:$K$102,Formulas!AN36,Formulas!AO36+2),"")))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21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IFERROR(INDEX(Datos!$A$2:$K$102,Formulas!AR35,RIGHT(Formulas!AT35)+2),"")))</f>
        <v/>
      </c>
      <c r="AS38" s="121" t="str" cm="1">
        <f t="array" aca="1" ref="AS38" ca="1">IF(OR(Formulas!AT36=0,Formulas!AT36=""),"",HYPERLINK("["&amp;Archivo_Nombre&amp;"]Datos!"&amp;LEFT(SUBSTITUTE(ADDRESS(1,Formulas!AT36+2),"$",""))&amp;Formulas!AS36+1,
IFERROR(INDEX(Datos!$A$2:$K$102,Formulas!AS36,Formulas!AT36+2),"")))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21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IFERROR(INDEX(Datos!$A$2:$K$102,Formulas!AW35,RIGHT(Formulas!AY35)+2),"")))</f>
        <v/>
      </c>
      <c r="AX38" s="121" t="str" cm="1">
        <f t="array" aca="1" ref="AX38" ca="1">IF(OR(Formulas!AY36=0,Formulas!AY36=""),"",HYPERLINK("["&amp;Archivo_Nombre&amp;"]Datos!"&amp;LEFT(SUBSTITUTE(ADDRESS(1,Formulas!AY36+2),"$",""))&amp;Formulas!AX36+1,
IFERROR(INDEX(Datos!$A$2:$K$102,Formulas!AX36,Formulas!AY36+2),"")))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21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IFERROR(INDEX(Datos!$A$2:$K$102,Formulas!D36,RIGHT(Formulas!F36)+2),"")))</f>
        <v/>
      </c>
      <c r="E39" s="121" t="str" cm="1">
        <f t="array" aca="1" ref="E39" ca="1">IF(OR(Formulas!F37=0,Formulas!F37=""),"",HYPERLINK("["&amp;Archivo_Nombre&amp;"]Datos!"&amp;LEFT(SUBSTITUTE(ADDRESS(1,Formulas!F37+2),"$",""))&amp;Formulas!E37+1,
IFERROR(INDEX(Datos!$A$2:$K$102,Formulas!E37,Formulas!F37+2),"")))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21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IFERROR(INDEX(Datos!$A$2:$K$102,Formulas!I36,RIGHT(Formulas!K36)+2),"")))</f>
        <v>0 días</v>
      </c>
      <c r="J39" s="121" t="e" cm="1">
        <f t="array" aca="1" ref="J39" ca="1">IF(OR(Formulas!K37=0,Formulas!K37=""),"",HYPERLINK("["&amp;Archivo_Nombre&amp;"]Datos!"&amp;LEFT(SUBSTITUTE(ADDRESS(1,Formulas!K37+2),"$",""))&amp;Formulas!J37+1,
IFERROR(INDEX(Datos!$A$2:$K$102,Formulas!J37,Formulas!K37+2),"")))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21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IFERROR(INDEX(Datos!$A$2:$K$102,Formulas!N36,RIGHT(Formulas!P36)+2),"")))</f>
        <v/>
      </c>
      <c r="O39" s="121" t="str" cm="1">
        <f t="array" aca="1" ref="O39" ca="1">IF(OR(Formulas!P37=0,Formulas!P37=""),"",HYPERLINK("["&amp;Archivo_Nombre&amp;"]Datos!"&amp;LEFT(SUBSTITUTE(ADDRESS(1,Formulas!P37+2),"$",""))&amp;Formulas!O37+1,
IFERROR(INDEX(Datos!$A$2:$K$102,Formulas!O37,Formulas!P37+2),"")))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21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IFERROR(INDEX(Datos!$A$2:$K$102,Formulas!S36,RIGHT(Formulas!U36)+2),"")))</f>
        <v>0 días</v>
      </c>
      <c r="T39" s="121" t="e" cm="1">
        <f t="array" aca="1" ref="T39" ca="1">IF(OR(Formulas!U37=0,Formulas!U37=""),"",HYPERLINK("["&amp;Archivo_Nombre&amp;"]Datos!"&amp;LEFT(SUBSTITUTE(ADDRESS(1,Formulas!U37+2),"$",""))&amp;Formulas!T37+1,
IFERROR(INDEX(Datos!$A$2:$K$102,Formulas!T37,Formulas!U37+2),"")))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21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IFERROR(INDEX(Datos!$A$2:$K$102,Formulas!X36,RIGHT(Formulas!Z36)+2),"")))</f>
        <v/>
      </c>
      <c r="Y39" s="121" t="str" cm="1">
        <f t="array" aca="1" ref="Y39" ca="1">IF(OR(Formulas!Z37=0,Formulas!Z37=""),"",HYPERLINK("["&amp;Archivo_Nombre&amp;"]Datos!"&amp;LEFT(SUBSTITUTE(ADDRESS(1,Formulas!Z37+2),"$",""))&amp;Formulas!Y37+1,
IFERROR(INDEX(Datos!$A$2:$K$102,Formulas!Y37,Formulas!Z37+2),"")))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21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IFERROR(INDEX(Datos!$A$2:$K$102,Formulas!AC36,RIGHT(Formulas!AE36)+2),"")))</f>
        <v/>
      </c>
      <c r="AD39" s="121" t="str" cm="1">
        <f t="array" aca="1" ref="AD39" ca="1">IF(OR(Formulas!AE37=0,Formulas!AE37=""),"",HYPERLINK("["&amp;Archivo_Nombre&amp;"]Datos!"&amp;LEFT(SUBSTITUTE(ADDRESS(1,Formulas!AE37+2),"$",""))&amp;Formulas!AD37+1,
IFERROR(INDEX(Datos!$A$2:$K$102,Formulas!AD37,Formulas!AE37+2),"")))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21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IFERROR(INDEX(Datos!$A$2:$K$102,Formulas!AH36,RIGHT(Formulas!AJ36)+2),"")))</f>
        <v/>
      </c>
      <c r="AI39" s="121" t="str" cm="1">
        <f t="array" aca="1" ref="AI39" ca="1">IF(OR(Formulas!AJ37=0,Formulas!AJ37=""),"",HYPERLINK("["&amp;Archivo_Nombre&amp;"]Datos!"&amp;LEFT(SUBSTITUTE(ADDRESS(1,Formulas!AJ37+2),"$",""))&amp;Formulas!AI37+1,
IFERROR(INDEX(Datos!$A$2:$K$102,Formulas!AI37,Formulas!AJ37+2),"")))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21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IFERROR(INDEX(Datos!$A$2:$K$102,Formulas!AM36,RIGHT(Formulas!AO36)+2),"")))</f>
        <v/>
      </c>
      <c r="AN39" s="121" t="str" cm="1">
        <f t="array" aca="1" ref="AN39" ca="1">IF(OR(Formulas!AO37=0,Formulas!AO37=""),"",HYPERLINK("["&amp;Archivo_Nombre&amp;"]Datos!"&amp;LEFT(SUBSTITUTE(ADDRESS(1,Formulas!AO37+2),"$",""))&amp;Formulas!AN37+1,
IFERROR(INDEX(Datos!$A$2:$K$102,Formulas!AN37,Formulas!AO37+2),"")))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21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IFERROR(INDEX(Datos!$A$2:$K$102,Formulas!AR36,RIGHT(Formulas!AT36)+2),"")))</f>
        <v/>
      </c>
      <c r="AS39" s="121" t="str" cm="1">
        <f t="array" aca="1" ref="AS39" ca="1">IF(OR(Formulas!AT37=0,Formulas!AT37=""),"",HYPERLINK("["&amp;Archivo_Nombre&amp;"]Datos!"&amp;LEFT(SUBSTITUTE(ADDRESS(1,Formulas!AT37+2),"$",""))&amp;Formulas!AS37+1,
IFERROR(INDEX(Datos!$A$2:$K$102,Formulas!AS37,Formulas!AT37+2),"")))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21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IFERROR(INDEX(Datos!$A$2:$K$102,Formulas!AW36,RIGHT(Formulas!AY36)+2),"")))</f>
        <v/>
      </c>
      <c r="AX39" s="121" t="str" cm="1">
        <f t="array" aca="1" ref="AX39" ca="1">IF(OR(Formulas!AY37=0,Formulas!AY37=""),"",HYPERLINK("["&amp;Archivo_Nombre&amp;"]Datos!"&amp;LEFT(SUBSTITUTE(ADDRESS(1,Formulas!AY37+2),"$",""))&amp;Formulas!AX37+1,
IFERROR(INDEX(Datos!$A$2:$K$102,Formulas!AX37,Formulas!AY37+2),"")))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21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IFERROR(INDEX(Datos!$A$2:$K$102,Formulas!D37,RIGHT(Formulas!F37)+2),"")))</f>
        <v/>
      </c>
      <c r="E40" s="121" t="str" cm="1">
        <f t="array" aca="1" ref="E40" ca="1">IF(OR(Formulas!F38=0,Formulas!F38=""),"",HYPERLINK("["&amp;Archivo_Nombre&amp;"]Datos!"&amp;LEFT(SUBSTITUTE(ADDRESS(1,Formulas!F38+2),"$",""))&amp;Formulas!E38+1,
IFERROR(INDEX(Datos!$A$2:$K$102,Formulas!E38,Formulas!F38+2),"")))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21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IFERROR(INDEX(Datos!$A$2:$K$102,Formulas!I37,RIGHT(Formulas!K37)+2),"")))</f>
        <v>Madellyn Tasipanta</v>
      </c>
      <c r="J40" s="121" t="str" cm="1">
        <f t="array" aca="1" ref="J40" ca="1">IF(OR(Formulas!K38=0,Formulas!K38=""),"",HYPERLINK("["&amp;Archivo_Nombre&amp;"]Datos!"&amp;LEFT(SUBSTITUTE(ADDRESS(1,Formulas!K38+2),"$",""))&amp;Formulas!J38+1,
IFERROR(INDEX(Datos!$A$2:$K$102,Formulas!J38,Formulas!K38+2),"")))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21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IFERROR(INDEX(Datos!$A$2:$K$102,Formulas!N37,RIGHT(Formulas!P37)+2),"")))</f>
        <v/>
      </c>
      <c r="O40" s="121" t="str" cm="1">
        <f t="array" aca="1" ref="O40" ca="1">IF(OR(Formulas!P38=0,Formulas!P38=""),"",HYPERLINK("["&amp;Archivo_Nombre&amp;"]Datos!"&amp;LEFT(SUBSTITUTE(ADDRESS(1,Formulas!P38+2),"$",""))&amp;Formulas!O38+1,
IFERROR(INDEX(Datos!$A$2:$K$102,Formulas!O38,Formulas!P38+2),"")))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21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IFERROR(INDEX(Datos!$A$2:$K$102,Formulas!S37,RIGHT(Formulas!U37)+2),"")))</f>
        <v>Kevin Andino</v>
      </c>
      <c r="T40" s="121" t="str" cm="1">
        <f t="array" aca="1" ref="T40" ca="1">IF(OR(Formulas!U38=0,Formulas!U38=""),"",HYPERLINK("["&amp;Archivo_Nombre&amp;"]Datos!"&amp;LEFT(SUBSTITUTE(ADDRESS(1,Formulas!U38+2),"$",""))&amp;Formulas!T38+1,
IFERROR(INDEX(Datos!$A$2:$K$102,Formulas!T38,Formulas!U38+2),"")))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21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IFERROR(INDEX(Datos!$A$2:$K$102,Formulas!X37,RIGHT(Formulas!Z37)+2),"")))</f>
        <v/>
      </c>
      <c r="Y40" s="121" t="str" cm="1">
        <f t="array" aca="1" ref="Y40" ca="1">IF(OR(Formulas!Z38=0,Formulas!Z38=""),"",HYPERLINK("["&amp;Archivo_Nombre&amp;"]Datos!"&amp;LEFT(SUBSTITUTE(ADDRESS(1,Formulas!Z38+2),"$",""))&amp;Formulas!Y38+1,
IFERROR(INDEX(Datos!$A$2:$K$102,Formulas!Y38,Formulas!Z38+2),"")))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21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IFERROR(INDEX(Datos!$A$2:$K$102,Formulas!AC37,RIGHT(Formulas!AE37)+2),"")))</f>
        <v/>
      </c>
      <c r="AD40" s="121" t="str" cm="1">
        <f t="array" aca="1" ref="AD40" ca="1">IF(OR(Formulas!AE38=0,Formulas!AE38=""),"",HYPERLINK("["&amp;Archivo_Nombre&amp;"]Datos!"&amp;LEFT(SUBSTITUTE(ADDRESS(1,Formulas!AE38+2),"$",""))&amp;Formulas!AD38+1,
IFERROR(INDEX(Datos!$A$2:$K$102,Formulas!AD38,Formulas!AE38+2),"")))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21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IFERROR(INDEX(Datos!$A$2:$K$102,Formulas!AH37,RIGHT(Formulas!AJ37)+2),"")))</f>
        <v/>
      </c>
      <c r="AI40" s="121" t="str" cm="1">
        <f t="array" aca="1" ref="AI40" ca="1">IF(OR(Formulas!AJ38=0,Formulas!AJ38=""),"",HYPERLINK("["&amp;Archivo_Nombre&amp;"]Datos!"&amp;LEFT(SUBSTITUTE(ADDRESS(1,Formulas!AJ38+2),"$",""))&amp;Formulas!AI38+1,
IFERROR(INDEX(Datos!$A$2:$K$102,Formulas!AI38,Formulas!AJ38+2),"")))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21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IFERROR(INDEX(Datos!$A$2:$K$102,Formulas!AM37,RIGHT(Formulas!AO37)+2),"")))</f>
        <v/>
      </c>
      <c r="AN40" s="121" t="str" cm="1">
        <f t="array" aca="1" ref="AN40" ca="1">IF(OR(Formulas!AO38=0,Formulas!AO38=""),"",HYPERLINK("["&amp;Archivo_Nombre&amp;"]Datos!"&amp;LEFT(SUBSTITUTE(ADDRESS(1,Formulas!AO38+2),"$",""))&amp;Formulas!AN38+1,
IFERROR(INDEX(Datos!$A$2:$K$102,Formulas!AN38,Formulas!AO38+2),"")))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21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IFERROR(INDEX(Datos!$A$2:$K$102,Formulas!AR37,RIGHT(Formulas!AT37)+2),"")))</f>
        <v/>
      </c>
      <c r="AS40" s="121" t="str" cm="1">
        <f t="array" aca="1" ref="AS40" ca="1">IF(OR(Formulas!AT38=0,Formulas!AT38=""),"",HYPERLINK("["&amp;Archivo_Nombre&amp;"]Datos!"&amp;LEFT(SUBSTITUTE(ADDRESS(1,Formulas!AT38+2),"$",""))&amp;Formulas!AS38+1,
IFERROR(INDEX(Datos!$A$2:$K$102,Formulas!AS38,Formulas!AT38+2),"")))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21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IFERROR(INDEX(Datos!$A$2:$K$102,Formulas!AW37,RIGHT(Formulas!AY37)+2),"")))</f>
        <v/>
      </c>
      <c r="AX40" s="121" t="str" cm="1">
        <f t="array" aca="1" ref="AX40" ca="1">IF(OR(Formulas!AY38=0,Formulas!AY38=""),"",HYPERLINK("["&amp;Archivo_Nombre&amp;"]Datos!"&amp;LEFT(SUBSTITUTE(ADDRESS(1,Formulas!AY38+2),"$",""))&amp;Formulas!AX38+1,
IFERROR(INDEX(Datos!$A$2:$K$102,Formulas!AX38,Formulas!AY38+2),"")))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21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IFERROR(INDEX(Datos!$A$2:$K$102,Formulas!D38,RIGHT(Formulas!F38)+2),"")))</f>
        <v/>
      </c>
      <c r="E41" s="121" t="str" cm="1">
        <f t="array" aca="1" ref="E41" ca="1">IF(OR(Formulas!F39=0,Formulas!F39=""),"",HYPERLINK("["&amp;Archivo_Nombre&amp;"]Datos!"&amp;LEFT(SUBSTITUTE(ADDRESS(1,Formulas!F39+2),"$",""))&amp;Formulas!E39+1,
IFERROR(INDEX(Datos!$A$2:$K$102,Formulas!E39,Formulas!F39+2),"")))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21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IFERROR(INDEX(Datos!$A$2:$K$102,Formulas!I38,RIGHT(Formulas!K38)+2),"")))</f>
        <v/>
      </c>
      <c r="J41" s="121" t="e" cm="1">
        <f t="array" aca="1" ref="J41" ca="1">IF(OR(Formulas!K39=0,Formulas!K39=""),"",HYPERLINK("["&amp;Archivo_Nombre&amp;"]Datos!"&amp;LEFT(SUBSTITUTE(ADDRESS(1,Formulas!K39+2),"$",""))&amp;Formulas!J39+1,
IFERROR(INDEX(Datos!$A$2:$K$102,Formulas!J39,Formulas!K39+2),"")))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21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IFERROR(INDEX(Datos!$A$2:$K$102,Formulas!N38,RIGHT(Formulas!P38)+2),"")))</f>
        <v/>
      </c>
      <c r="O41" s="121" t="str" cm="1">
        <f t="array" aca="1" ref="O41" ca="1">IF(OR(Formulas!P39=0,Formulas!P39=""),"",HYPERLINK("["&amp;Archivo_Nombre&amp;"]Datos!"&amp;LEFT(SUBSTITUTE(ADDRESS(1,Formulas!P39+2),"$",""))&amp;Formulas!O39+1,
IFERROR(INDEX(Datos!$A$2:$K$102,Formulas!O39,Formulas!P39+2),"")))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21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IFERROR(INDEX(Datos!$A$2:$K$102,Formulas!S38,RIGHT(Formulas!U38)+2),"")))</f>
        <v/>
      </c>
      <c r="T41" s="121" t="e" cm="1">
        <f t="array" aca="1" ref="T41" ca="1">IF(OR(Formulas!U39=0,Formulas!U39=""),"",HYPERLINK("["&amp;Archivo_Nombre&amp;"]Datos!"&amp;LEFT(SUBSTITUTE(ADDRESS(1,Formulas!U39+2),"$",""))&amp;Formulas!T39+1,
IFERROR(INDEX(Datos!$A$2:$K$102,Formulas!T39,Formulas!U39+2),"")))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21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IFERROR(INDEX(Datos!$A$2:$K$102,Formulas!X38,RIGHT(Formulas!Z38)+2),"")))</f>
        <v/>
      </c>
      <c r="Y41" s="121" t="str" cm="1">
        <f t="array" aca="1" ref="Y41" ca="1">IF(OR(Formulas!Z39=0,Formulas!Z39=""),"",HYPERLINK("["&amp;Archivo_Nombre&amp;"]Datos!"&amp;LEFT(SUBSTITUTE(ADDRESS(1,Formulas!Z39+2),"$",""))&amp;Formulas!Y39+1,
IFERROR(INDEX(Datos!$A$2:$K$102,Formulas!Y39,Formulas!Z39+2),"")))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21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IFERROR(INDEX(Datos!$A$2:$K$102,Formulas!AC38,RIGHT(Formulas!AE38)+2),"")))</f>
        <v/>
      </c>
      <c r="AD41" s="121" t="str" cm="1">
        <f t="array" aca="1" ref="AD41" ca="1">IF(OR(Formulas!AE39=0,Formulas!AE39=""),"",HYPERLINK("["&amp;Archivo_Nombre&amp;"]Datos!"&amp;LEFT(SUBSTITUTE(ADDRESS(1,Formulas!AE39+2),"$",""))&amp;Formulas!AD39+1,
IFERROR(INDEX(Datos!$A$2:$K$102,Formulas!AD39,Formulas!AE39+2),"")))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21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IFERROR(INDEX(Datos!$A$2:$K$102,Formulas!AH38,RIGHT(Formulas!AJ38)+2),"")))</f>
        <v/>
      </c>
      <c r="AI41" s="121" t="str" cm="1">
        <f t="array" aca="1" ref="AI41" ca="1">IF(OR(Formulas!AJ39=0,Formulas!AJ39=""),"",HYPERLINK("["&amp;Archivo_Nombre&amp;"]Datos!"&amp;LEFT(SUBSTITUTE(ADDRESS(1,Formulas!AJ39+2),"$",""))&amp;Formulas!AI39+1,
IFERROR(INDEX(Datos!$A$2:$K$102,Formulas!AI39,Formulas!AJ39+2),"")))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21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IFERROR(INDEX(Datos!$A$2:$K$102,Formulas!AM38,RIGHT(Formulas!AO38)+2),"")))</f>
        <v/>
      </c>
      <c r="AN41" s="121" t="str" cm="1">
        <f t="array" aca="1" ref="AN41" ca="1">IF(OR(Formulas!AO39=0,Formulas!AO39=""),"",HYPERLINK("["&amp;Archivo_Nombre&amp;"]Datos!"&amp;LEFT(SUBSTITUTE(ADDRESS(1,Formulas!AO39+2),"$",""))&amp;Formulas!AN39+1,
IFERROR(INDEX(Datos!$A$2:$K$102,Formulas!AN39,Formulas!AO39+2),"")))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21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IFERROR(INDEX(Datos!$A$2:$K$102,Formulas!AR38,RIGHT(Formulas!AT38)+2),"")))</f>
        <v/>
      </c>
      <c r="AS41" s="121" t="str" cm="1">
        <f t="array" aca="1" ref="AS41" ca="1">IF(OR(Formulas!AT39=0,Formulas!AT39=""),"",HYPERLINK("["&amp;Archivo_Nombre&amp;"]Datos!"&amp;LEFT(SUBSTITUTE(ADDRESS(1,Formulas!AT39+2),"$",""))&amp;Formulas!AS39+1,
IFERROR(INDEX(Datos!$A$2:$K$102,Formulas!AS39,Formulas!AT39+2),"")))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21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IFERROR(INDEX(Datos!$A$2:$K$102,Formulas!AW38,RIGHT(Formulas!AY38)+2),"")))</f>
        <v/>
      </c>
      <c r="AX41" s="121" t="str" cm="1">
        <f t="array" aca="1" ref="AX41" ca="1">IF(OR(Formulas!AY39=0,Formulas!AY39=""),"",HYPERLINK("["&amp;Archivo_Nombre&amp;"]Datos!"&amp;LEFT(SUBSTITUTE(ADDRESS(1,Formulas!AY39+2),"$",""))&amp;Formulas!AX39+1,
IFERROR(INDEX(Datos!$A$2:$K$102,Formulas!AX39,Formulas!AY39+2),"")))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21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IFERROR(INDEX(Datos!$A$2:$K$102,Formulas!D39,RIGHT(Formulas!F39)+2),"")))</f>
        <v/>
      </c>
      <c r="E42" s="121" t="str" cm="1">
        <f t="array" aca="1" ref="E42" ca="1">IF(OR(Formulas!F40=0,Formulas!F40=""),"",HYPERLINK("["&amp;Archivo_Nombre&amp;"]Datos!"&amp;LEFT(SUBSTITUTE(ADDRESS(1,Formulas!F40+2),"$",""))&amp;Formulas!E40+1,
IFERROR(INDEX(Datos!$A$2:$K$102,Formulas!E40,Formulas!F40+2),"")))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65:</v>
      </c>
      <c r="I42" s="121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IFERROR(INDEX(Datos!$A$2:$K$102,Formulas!I39,RIGHT(Formulas!K39)+2),"")))</f>
        <v>REQ007-4 Notificar éxito o error al usuario.</v>
      </c>
      <c r="J42" s="121" t="e" cm="1">
        <f t="array" aca="1" ref="J42" ca="1">IF(OR(Formulas!K40=0,Formulas!K40=""),"",HYPERLINK("["&amp;Archivo_Nombre&amp;"]Datos!"&amp;LEFT(SUBSTITUTE(ADDRESS(1,Formulas!K40+2),"$",""))&amp;Formulas!J40+1,
IFERROR(INDEX(Datos!$A$2:$K$102,Formulas!J40,Formulas!K40+2),"")))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21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IFERROR(INDEX(Datos!$A$2:$K$102,Formulas!N39,RIGHT(Formulas!P39)+2),"")))</f>
        <v/>
      </c>
      <c r="O42" s="121" t="str" cm="1">
        <f t="array" aca="1" ref="O42" ca="1">IF(OR(Formulas!P40=0,Formulas!P40=""),"",HYPERLINK("["&amp;Archivo_Nombre&amp;"]Datos!"&amp;LEFT(SUBSTITUTE(ADDRESS(1,Formulas!P40+2),"$",""))&amp;Formulas!O40+1,
IFERROR(INDEX(Datos!$A$2:$K$102,Formulas!O40,Formulas!P40+2),"")))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54:</v>
      </c>
      <c r="S42" s="121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IFERROR(INDEX(Datos!$A$2:$K$102,Formulas!S39,RIGHT(Formulas!U39)+2),"")))</f>
        <v>REQ006 Eliminación de Contratos</v>
      </c>
      <c r="T42" s="121" t="e" cm="1">
        <f t="array" aca="1" ref="T42" ca="1">IF(OR(Formulas!U40=0,Formulas!U40=""),"",HYPERLINK("["&amp;Archivo_Nombre&amp;"]Datos!"&amp;LEFT(SUBSTITUTE(ADDRESS(1,Formulas!U40+2),"$",""))&amp;Formulas!T40+1,
IFERROR(INDEX(Datos!$A$2:$K$102,Formulas!T40,Formulas!U40+2),"")))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21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IFERROR(INDEX(Datos!$A$2:$K$102,Formulas!X39,RIGHT(Formulas!Z39)+2),"")))</f>
        <v/>
      </c>
      <c r="Y42" s="121" t="str" cm="1">
        <f t="array" aca="1" ref="Y42" ca="1">IF(OR(Formulas!Z40=0,Formulas!Z40=""),"",HYPERLINK("["&amp;Archivo_Nombre&amp;"]Datos!"&amp;LEFT(SUBSTITUTE(ADDRESS(1,Formulas!Z40+2),"$",""))&amp;Formulas!Y40+1,
IFERROR(INDEX(Datos!$A$2:$K$102,Formulas!Y40,Formulas!Z40+2),"")))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21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IFERROR(INDEX(Datos!$A$2:$K$102,Formulas!AC39,RIGHT(Formulas!AE39)+2),"")))</f>
        <v/>
      </c>
      <c r="AD42" s="121" t="str" cm="1">
        <f t="array" aca="1" ref="AD42" ca="1">IF(OR(Formulas!AE40=0,Formulas!AE40=""),"",HYPERLINK("["&amp;Archivo_Nombre&amp;"]Datos!"&amp;LEFT(SUBSTITUTE(ADDRESS(1,Formulas!AE40+2),"$",""))&amp;Formulas!AD40+1,
IFERROR(INDEX(Datos!$A$2:$K$102,Formulas!AD40,Formulas!AE40+2),"")))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21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IFERROR(INDEX(Datos!$A$2:$K$102,Formulas!AH39,RIGHT(Formulas!AJ39)+2),"")))</f>
        <v/>
      </c>
      <c r="AI42" s="121" t="str" cm="1">
        <f t="array" aca="1" ref="AI42" ca="1">IF(OR(Formulas!AJ40=0,Formulas!AJ40=""),"",HYPERLINK("["&amp;Archivo_Nombre&amp;"]Datos!"&amp;LEFT(SUBSTITUTE(ADDRESS(1,Formulas!AJ40+2),"$",""))&amp;Formulas!AI40+1,
IFERROR(INDEX(Datos!$A$2:$K$102,Formulas!AI40,Formulas!AJ40+2),"")))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21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IFERROR(INDEX(Datos!$A$2:$K$102,Formulas!AM39,RIGHT(Formulas!AO39)+2),"")))</f>
        <v/>
      </c>
      <c r="AN42" s="121" t="str" cm="1">
        <f t="array" aca="1" ref="AN42" ca="1">IF(OR(Formulas!AO40=0,Formulas!AO40=""),"",HYPERLINK("["&amp;Archivo_Nombre&amp;"]Datos!"&amp;LEFT(SUBSTITUTE(ADDRESS(1,Formulas!AO40+2),"$",""))&amp;Formulas!AN40+1,
IFERROR(INDEX(Datos!$A$2:$K$102,Formulas!AN40,Formulas!AO40+2),"")))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21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IFERROR(INDEX(Datos!$A$2:$K$102,Formulas!AR39,RIGHT(Formulas!AT39)+2),"")))</f>
        <v/>
      </c>
      <c r="AS42" s="121" t="str" cm="1">
        <f t="array" aca="1" ref="AS42" ca="1">IF(OR(Formulas!AT40=0,Formulas!AT40=""),"",HYPERLINK("["&amp;Archivo_Nombre&amp;"]Datos!"&amp;LEFT(SUBSTITUTE(ADDRESS(1,Formulas!AT40+2),"$",""))&amp;Formulas!AS40+1,
IFERROR(INDEX(Datos!$A$2:$K$102,Formulas!AS40,Formulas!AT40+2),"")))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21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IFERROR(INDEX(Datos!$A$2:$K$102,Formulas!AW39,RIGHT(Formulas!AY39)+2),"")))</f>
        <v/>
      </c>
      <c r="AX42" s="121" t="str" cm="1">
        <f t="array" aca="1" ref="AX42" ca="1">IF(OR(Formulas!AY40=0,Formulas!AY40=""),"",HYPERLINK("["&amp;Archivo_Nombre&amp;"]Datos!"&amp;LEFT(SUBSTITUTE(ADDRESS(1,Formulas!AY40+2),"$",""))&amp;Formulas!AX40+1,
IFERROR(INDEX(Datos!$A$2:$K$102,Formulas!AX40,Formulas!AY40+2),"")))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21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IFERROR(INDEX(Datos!$A$2:$K$102,Formulas!D40,RIGHT(Formulas!F40)+2),"")))</f>
        <v/>
      </c>
      <c r="E43" s="121" t="str" cm="1">
        <f t="array" aca="1" ref="E43" ca="1">IF(OR(Formulas!F41=0,Formulas!F41=""),"",HYPERLINK("["&amp;Archivo_Nombre&amp;"]Datos!"&amp;LEFT(SUBSTITUTE(ADDRESS(1,Formulas!F41+2),"$",""))&amp;Formulas!E41+1,
IFERROR(INDEX(Datos!$A$2:$K$102,Formulas!E41,Formulas!F41+2),"")))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21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IFERROR(INDEX(Datos!$A$2:$K$102,Formulas!I40,RIGHT(Formulas!K40)+2),"")))</f>
        <v>0</v>
      </c>
      <c r="J43" s="121" t="e" cm="1">
        <f t="array" aca="1" ref="J43" ca="1">IF(OR(Formulas!K41=0,Formulas!K41=""),"",HYPERLINK("["&amp;Archivo_Nombre&amp;"]Datos!"&amp;LEFT(SUBSTITUTE(ADDRESS(1,Formulas!K41+2),"$",""))&amp;Formulas!J41+1,
IFERROR(INDEX(Datos!$A$2:$K$102,Formulas!J41,Formulas!K41+2),"")))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1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IFERROR(INDEX(Datos!$A$2:$K$102,Formulas!N40,RIGHT(Formulas!P40)+2),"")))</f>
        <v/>
      </c>
      <c r="O43" s="121" t="str" cm="1">
        <f t="array" aca="1" ref="O43" ca="1">IF(OR(Formulas!P41=0,Formulas!P41=""),"",HYPERLINK("["&amp;Archivo_Nombre&amp;"]Datos!"&amp;LEFT(SUBSTITUTE(ADDRESS(1,Formulas!P41+2),"$",""))&amp;Formulas!O41+1,
IFERROR(INDEX(Datos!$A$2:$K$102,Formulas!O41,Formulas!P41+2),"")))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21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IFERROR(INDEX(Datos!$A$2:$K$102,Formulas!S40,RIGHT(Formulas!U40)+2),"")))</f>
        <v>Editar y eliminar contratos registrados</v>
      </c>
      <c r="T43" s="121" t="e" cm="1">
        <f t="array" aca="1" ref="T43" ca="1">IF(OR(Formulas!U41=0,Formulas!U41=""),"",HYPERLINK("["&amp;Archivo_Nombre&amp;"]Datos!"&amp;LEFT(SUBSTITUTE(ADDRESS(1,Formulas!U41+2),"$",""))&amp;Formulas!T41+1,
IFERROR(INDEX(Datos!$A$2:$K$102,Formulas!T41,Formulas!U41+2),"")))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21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IFERROR(INDEX(Datos!$A$2:$K$102,Formulas!X40,RIGHT(Formulas!Z40)+2),"")))</f>
        <v/>
      </c>
      <c r="Y43" s="121" t="str" cm="1">
        <f t="array" aca="1" ref="Y43" ca="1">IF(OR(Formulas!Z41=0,Formulas!Z41=""),"",HYPERLINK("["&amp;Archivo_Nombre&amp;"]Datos!"&amp;LEFT(SUBSTITUTE(ADDRESS(1,Formulas!Z41+2),"$",""))&amp;Formulas!Y41+1,
IFERROR(INDEX(Datos!$A$2:$K$102,Formulas!Y41,Formulas!Z41+2),"")))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21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IFERROR(INDEX(Datos!$A$2:$K$102,Formulas!AC40,RIGHT(Formulas!AE40)+2),"")))</f>
        <v/>
      </c>
      <c r="AD43" s="121" t="str" cm="1">
        <f t="array" aca="1" ref="AD43" ca="1">IF(OR(Formulas!AE41=0,Formulas!AE41=""),"",HYPERLINK("["&amp;Archivo_Nombre&amp;"]Datos!"&amp;LEFT(SUBSTITUTE(ADDRESS(1,Formulas!AE41+2),"$",""))&amp;Formulas!AD41+1,
IFERROR(INDEX(Datos!$A$2:$K$102,Formulas!AD41,Formulas!AE41+2),"")))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21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IFERROR(INDEX(Datos!$A$2:$K$102,Formulas!AH40,RIGHT(Formulas!AJ40)+2),"")))</f>
        <v/>
      </c>
      <c r="AI43" s="121" t="str" cm="1">
        <f t="array" aca="1" ref="AI43" ca="1">IF(OR(Formulas!AJ41=0,Formulas!AJ41=""),"",HYPERLINK("["&amp;Archivo_Nombre&amp;"]Datos!"&amp;LEFT(SUBSTITUTE(ADDRESS(1,Formulas!AJ41+2),"$",""))&amp;Formulas!AI41+1,
IFERROR(INDEX(Datos!$A$2:$K$102,Formulas!AI41,Formulas!AJ41+2),"")))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21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IFERROR(INDEX(Datos!$A$2:$K$102,Formulas!AM40,RIGHT(Formulas!AO40)+2),"")))</f>
        <v/>
      </c>
      <c r="AN43" s="121" t="str" cm="1">
        <f t="array" aca="1" ref="AN43" ca="1">IF(OR(Formulas!AO41=0,Formulas!AO41=""),"",HYPERLINK("["&amp;Archivo_Nombre&amp;"]Datos!"&amp;LEFT(SUBSTITUTE(ADDRESS(1,Formulas!AO41+2),"$",""))&amp;Formulas!AN41+1,
IFERROR(INDEX(Datos!$A$2:$K$102,Formulas!AN41,Formulas!AO41+2),"")))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21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IFERROR(INDEX(Datos!$A$2:$K$102,Formulas!AR40,RIGHT(Formulas!AT40)+2),"")))</f>
        <v/>
      </c>
      <c r="AS43" s="121" t="str" cm="1">
        <f t="array" aca="1" ref="AS43" ca="1">IF(OR(Formulas!AT41=0,Formulas!AT41=""),"",HYPERLINK("["&amp;Archivo_Nombre&amp;"]Datos!"&amp;LEFT(SUBSTITUTE(ADDRESS(1,Formulas!AT41+2),"$",""))&amp;Formulas!AS41+1,
IFERROR(INDEX(Datos!$A$2:$K$102,Formulas!AS41,Formulas!AT41+2),"")))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21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IFERROR(INDEX(Datos!$A$2:$K$102,Formulas!AW40,RIGHT(Formulas!AY40)+2),"")))</f>
        <v/>
      </c>
      <c r="AX43" s="121" t="str" cm="1">
        <f t="array" aca="1" ref="AX43" ca="1">IF(OR(Formulas!AY41=0,Formulas!AY41=""),"",HYPERLINK("["&amp;Archivo_Nombre&amp;"]Datos!"&amp;LEFT(SUBSTITUTE(ADDRESS(1,Formulas!AY41+2),"$",""))&amp;Formulas!AX41+1,
IFERROR(INDEX(Datos!$A$2:$K$102,Formulas!AX41,Formulas!AY41+2),"")))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21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IFERROR(INDEX(Datos!$A$2:$K$102,Formulas!D41,RIGHT(Formulas!F41)+2),"")))</f>
        <v/>
      </c>
      <c r="E44" s="121" t="str" cm="1">
        <f t="array" aca="1" ref="E44" ca="1">IF(OR(Formulas!F42=0,Formulas!F42=""),"",HYPERLINK("["&amp;Archivo_Nombre&amp;"]Datos!"&amp;LEFT(SUBSTITUTE(ADDRESS(1,Formulas!F42+2),"$",""))&amp;Formulas!E42+1,
IFERROR(INDEX(Datos!$A$2:$K$102,Formulas!E42,Formulas!F42+2),"")))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21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IFERROR(INDEX(Datos!$A$2:$K$102,Formulas!I41,RIGHT(Formulas!K41)+2),"")))</f>
        <v>46002</v>
      </c>
      <c r="J44" s="121" t="e" cm="1">
        <f t="array" aca="1" ref="J44" ca="1">IF(OR(Formulas!K42=0,Formulas!K42=""),"",HYPERLINK("["&amp;Archivo_Nombre&amp;"]Datos!"&amp;LEFT(SUBSTITUTE(ADDRESS(1,Formulas!K42+2),"$",""))&amp;Formulas!J42+1,
IFERROR(INDEX(Datos!$A$2:$K$102,Formulas!J42,Formulas!K42+2),"")))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21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IFERROR(INDEX(Datos!$A$2:$K$102,Formulas!N41,RIGHT(Formulas!P41)+2),"")))</f>
        <v/>
      </c>
      <c r="O44" s="121" t="str" cm="1">
        <f t="array" aca="1" ref="O44" ca="1">IF(OR(Formulas!P42=0,Formulas!P42=""),"",HYPERLINK("["&amp;Archivo_Nombre&amp;"]Datos!"&amp;LEFT(SUBSTITUTE(ADDRESS(1,Formulas!P42+2),"$",""))&amp;Formulas!O42+1,
IFERROR(INDEX(Datos!$A$2:$K$102,Formulas!O42,Formulas!P42+2),"")))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21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IFERROR(INDEX(Datos!$A$2:$K$102,Formulas!S41,RIGHT(Formulas!U41)+2),"")))</f>
        <v>45994</v>
      </c>
      <c r="T44" s="121" t="e" cm="1">
        <f t="array" aca="1" ref="T44" ca="1">IF(OR(Formulas!U42=0,Formulas!U42=""),"",HYPERLINK("["&amp;Archivo_Nombre&amp;"]Datos!"&amp;LEFT(SUBSTITUTE(ADDRESS(1,Formulas!U42+2),"$",""))&amp;Formulas!T42+1,
IFERROR(INDEX(Datos!$A$2:$K$102,Formulas!T42,Formulas!U42+2),"")))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21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IFERROR(INDEX(Datos!$A$2:$K$102,Formulas!X41,RIGHT(Formulas!Z41)+2),"")))</f>
        <v/>
      </c>
      <c r="Y44" s="121" t="str" cm="1">
        <f t="array" aca="1" ref="Y44" ca="1">IF(OR(Formulas!Z42=0,Formulas!Z42=""),"",HYPERLINK("["&amp;Archivo_Nombre&amp;"]Datos!"&amp;LEFT(SUBSTITUTE(ADDRESS(1,Formulas!Z42+2),"$",""))&amp;Formulas!Y42+1,
IFERROR(INDEX(Datos!$A$2:$K$102,Formulas!Y42,Formulas!Z42+2),"")))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21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IFERROR(INDEX(Datos!$A$2:$K$102,Formulas!AC41,RIGHT(Formulas!AE41)+2),"")))</f>
        <v/>
      </c>
      <c r="AD44" s="121" t="str" cm="1">
        <f t="array" aca="1" ref="AD44" ca="1">IF(OR(Formulas!AE42=0,Formulas!AE42=""),"",HYPERLINK("["&amp;Archivo_Nombre&amp;"]Datos!"&amp;LEFT(SUBSTITUTE(ADDRESS(1,Formulas!AE42+2),"$",""))&amp;Formulas!AD42+1,
IFERROR(INDEX(Datos!$A$2:$K$102,Formulas!AD42,Formulas!AE42+2),"")))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21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IFERROR(INDEX(Datos!$A$2:$K$102,Formulas!AH41,RIGHT(Formulas!AJ41)+2),"")))</f>
        <v/>
      </c>
      <c r="AI44" s="121" t="str" cm="1">
        <f t="array" aca="1" ref="AI44" ca="1">IF(OR(Formulas!AJ42=0,Formulas!AJ42=""),"",HYPERLINK("["&amp;Archivo_Nombre&amp;"]Datos!"&amp;LEFT(SUBSTITUTE(ADDRESS(1,Formulas!AJ42+2),"$",""))&amp;Formulas!AI42+1,
IFERROR(INDEX(Datos!$A$2:$K$102,Formulas!AI42,Formulas!AJ42+2),"")))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21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IFERROR(INDEX(Datos!$A$2:$K$102,Formulas!AM41,RIGHT(Formulas!AO41)+2),"")))</f>
        <v/>
      </c>
      <c r="AN44" s="121" t="str" cm="1">
        <f t="array" aca="1" ref="AN44" ca="1">IF(OR(Formulas!AO42=0,Formulas!AO42=""),"",HYPERLINK("["&amp;Archivo_Nombre&amp;"]Datos!"&amp;LEFT(SUBSTITUTE(ADDRESS(1,Formulas!AO42+2),"$",""))&amp;Formulas!AN42+1,
IFERROR(INDEX(Datos!$A$2:$K$102,Formulas!AN42,Formulas!AO42+2),"")))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21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IFERROR(INDEX(Datos!$A$2:$K$102,Formulas!AR41,RIGHT(Formulas!AT41)+2),"")))</f>
        <v/>
      </c>
      <c r="AS44" s="121" t="str" cm="1">
        <f t="array" aca="1" ref="AS44" ca="1">IF(OR(Formulas!AT42=0,Formulas!AT42=""),"",HYPERLINK("["&amp;Archivo_Nombre&amp;"]Datos!"&amp;LEFT(SUBSTITUTE(ADDRESS(1,Formulas!AT42+2),"$",""))&amp;Formulas!AS42+1,
IFERROR(INDEX(Datos!$A$2:$K$102,Formulas!AS42,Formulas!AT42+2),"")))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21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IFERROR(INDEX(Datos!$A$2:$K$102,Formulas!AW41,RIGHT(Formulas!AY41)+2),"")))</f>
        <v/>
      </c>
      <c r="AX44" s="121" t="str" cm="1">
        <f t="array" aca="1" ref="AX44" ca="1">IF(OR(Formulas!AY42=0,Formulas!AY42=""),"",HYPERLINK("["&amp;Archivo_Nombre&amp;"]Datos!"&amp;LEFT(SUBSTITUTE(ADDRESS(1,Formulas!AY42+2),"$",""))&amp;Formulas!AX42+1,
IFERROR(INDEX(Datos!$A$2:$K$102,Formulas!AX42,Formulas!AY42+2),"")))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21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IFERROR(INDEX(Datos!$A$2:$K$102,Formulas!D42,RIGHT(Formulas!F42)+2),"")))</f>
        <v/>
      </c>
      <c r="E45" s="121" t="str" cm="1">
        <f t="array" aca="1" ref="E45" ca="1">IF(OR(Formulas!F43=0,Formulas!F43=""),"",HYPERLINK("["&amp;Archivo_Nombre&amp;"]Datos!"&amp;LEFT(SUBSTITUTE(ADDRESS(1,Formulas!F43+2),"$",""))&amp;Formulas!E43+1,
IFERROR(INDEX(Datos!$A$2:$K$102,Formulas!E43,Formulas!F43+2),"")))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21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IFERROR(INDEX(Datos!$A$2:$K$102,Formulas!I42,RIGHT(Formulas!K42)+2),"")))</f>
        <v>46043</v>
      </c>
      <c r="J45" s="121" t="e" cm="1">
        <f t="array" aca="1" ref="J45" ca="1">IF(OR(Formulas!K43=0,Formulas!K43=""),"",HYPERLINK("["&amp;Archivo_Nombre&amp;"]Datos!"&amp;LEFT(SUBSTITUTE(ADDRESS(1,Formulas!K43+2),"$",""))&amp;Formulas!J43+1,
IFERROR(INDEX(Datos!$A$2:$K$102,Formulas!J43,Formulas!K43+2),"")))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21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IFERROR(INDEX(Datos!$A$2:$K$102,Formulas!N42,RIGHT(Formulas!P42)+2),"")))</f>
        <v/>
      </c>
      <c r="O45" s="121" t="str" cm="1">
        <f t="array" aca="1" ref="O45" ca="1">IF(OR(Formulas!P43=0,Formulas!P43=""),"",HYPERLINK("["&amp;Archivo_Nombre&amp;"]Datos!"&amp;LEFT(SUBSTITUTE(ADDRESS(1,Formulas!P43+2),"$",""))&amp;Formulas!O43+1,
IFERROR(INDEX(Datos!$A$2:$K$102,Formulas!O43,Formulas!P43+2),"")))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21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IFERROR(INDEX(Datos!$A$2:$K$102,Formulas!S42,RIGHT(Formulas!U42)+2),"")))</f>
        <v>45999</v>
      </c>
      <c r="T45" s="121" t="e" cm="1">
        <f t="array" aca="1" ref="T45" ca="1">IF(OR(Formulas!U43=0,Formulas!U43=""),"",HYPERLINK("["&amp;Archivo_Nombre&amp;"]Datos!"&amp;LEFT(SUBSTITUTE(ADDRESS(1,Formulas!U43+2),"$",""))&amp;Formulas!T43+1,
IFERROR(INDEX(Datos!$A$2:$K$102,Formulas!T43,Formulas!U43+2),"")))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21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IFERROR(INDEX(Datos!$A$2:$K$102,Formulas!X42,RIGHT(Formulas!Z42)+2),"")))</f>
        <v/>
      </c>
      <c r="Y45" s="121" t="str" cm="1">
        <f t="array" aca="1" ref="Y45" ca="1">IF(OR(Formulas!Z43=0,Formulas!Z43=""),"",HYPERLINK("["&amp;Archivo_Nombre&amp;"]Datos!"&amp;LEFT(SUBSTITUTE(ADDRESS(1,Formulas!Z43+2),"$",""))&amp;Formulas!Y43+1,
IFERROR(INDEX(Datos!$A$2:$K$102,Formulas!Y43,Formulas!Z43+2),"")))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21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IFERROR(INDEX(Datos!$A$2:$K$102,Formulas!AC42,RIGHT(Formulas!AE42)+2),"")))</f>
        <v/>
      </c>
      <c r="AD45" s="121" t="str" cm="1">
        <f t="array" aca="1" ref="AD45" ca="1">IF(OR(Formulas!AE43=0,Formulas!AE43=""),"",HYPERLINK("["&amp;Archivo_Nombre&amp;"]Datos!"&amp;LEFT(SUBSTITUTE(ADDRESS(1,Formulas!AE43+2),"$",""))&amp;Formulas!AD43+1,
IFERROR(INDEX(Datos!$A$2:$K$102,Formulas!AD43,Formulas!AE43+2),"")))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21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IFERROR(INDEX(Datos!$A$2:$K$102,Formulas!AH42,RIGHT(Formulas!AJ42)+2),"")))</f>
        <v/>
      </c>
      <c r="AI45" s="121" t="str" cm="1">
        <f t="array" aca="1" ref="AI45" ca="1">IF(OR(Formulas!AJ43=0,Formulas!AJ43=""),"",HYPERLINK("["&amp;Archivo_Nombre&amp;"]Datos!"&amp;LEFT(SUBSTITUTE(ADDRESS(1,Formulas!AJ43+2),"$",""))&amp;Formulas!AI43+1,
IFERROR(INDEX(Datos!$A$2:$K$102,Formulas!AI43,Formulas!AJ43+2),"")))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21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IFERROR(INDEX(Datos!$A$2:$K$102,Formulas!AM42,RIGHT(Formulas!AO42)+2),"")))</f>
        <v/>
      </c>
      <c r="AN45" s="121" t="str" cm="1">
        <f t="array" aca="1" ref="AN45" ca="1">IF(OR(Formulas!AO43=0,Formulas!AO43=""),"",HYPERLINK("["&amp;Archivo_Nombre&amp;"]Datos!"&amp;LEFT(SUBSTITUTE(ADDRESS(1,Formulas!AO43+2),"$",""))&amp;Formulas!AN43+1,
IFERROR(INDEX(Datos!$A$2:$K$102,Formulas!AN43,Formulas!AO43+2),"")))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21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IFERROR(INDEX(Datos!$A$2:$K$102,Formulas!AR42,RIGHT(Formulas!AT42)+2),"")))</f>
        <v/>
      </c>
      <c r="AS45" s="121" t="str" cm="1">
        <f t="array" aca="1" ref="AS45" ca="1">IF(OR(Formulas!AT43=0,Formulas!AT43=""),"",HYPERLINK("["&amp;Archivo_Nombre&amp;"]Datos!"&amp;LEFT(SUBSTITUTE(ADDRESS(1,Formulas!AT43+2),"$",""))&amp;Formulas!AS43+1,
IFERROR(INDEX(Datos!$A$2:$K$102,Formulas!AS43,Formulas!AT43+2),"")))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21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IFERROR(INDEX(Datos!$A$2:$K$102,Formulas!AW42,RIGHT(Formulas!AY42)+2),"")))</f>
        <v/>
      </c>
      <c r="AX45" s="121" t="str" cm="1">
        <f t="array" aca="1" ref="AX45" ca="1">IF(OR(Formulas!AY43=0,Formulas!AY43=""),"",HYPERLINK("["&amp;Archivo_Nombre&amp;"]Datos!"&amp;LEFT(SUBSTITUTE(ADDRESS(1,Formulas!AY43+2),"$",""))&amp;Formulas!AX43+1,
IFERROR(INDEX(Datos!$A$2:$K$102,Formulas!AX43,Formulas!AY43+2),"")))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21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IFERROR(INDEX(Datos!$A$2:$K$102,Formulas!D43,RIGHT(Formulas!F43)+2),"")))</f>
        <v/>
      </c>
      <c r="E46" s="121" t="str" cm="1">
        <f t="array" aca="1" ref="E46" ca="1">IF(OR(Formulas!F44=0,Formulas!F44=""),"",HYPERLINK("["&amp;Archivo_Nombre&amp;"]Datos!"&amp;LEFT(SUBSTITUTE(ADDRESS(1,Formulas!F44+2),"$",""))&amp;Formulas!E44+1,
IFERROR(INDEX(Datos!$A$2:$K$102,Formulas!E44,Formulas!F44+2),"")))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21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IFERROR(INDEX(Datos!$A$2:$K$102,Formulas!I43,RIGHT(Formulas!K43)+2),"")))</f>
        <v>46003</v>
      </c>
      <c r="J46" s="121" t="e" cm="1">
        <f t="array" aca="1" ref="J46" ca="1">IF(OR(Formulas!K44=0,Formulas!K44=""),"",HYPERLINK("["&amp;Archivo_Nombre&amp;"]Datos!"&amp;LEFT(SUBSTITUTE(ADDRESS(1,Formulas!K44+2),"$",""))&amp;Formulas!J44+1,
IFERROR(INDEX(Datos!$A$2:$K$102,Formulas!J44,Formulas!K44+2),"")))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21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IFERROR(INDEX(Datos!$A$2:$K$102,Formulas!N43,RIGHT(Formulas!P43)+2),"")))</f>
        <v/>
      </c>
      <c r="O46" s="121" t="str" cm="1">
        <f t="array" aca="1" ref="O46" ca="1">IF(OR(Formulas!P44=0,Formulas!P44=""),"",HYPERLINK("["&amp;Archivo_Nombre&amp;"]Datos!"&amp;LEFT(SUBSTITUTE(ADDRESS(1,Formulas!P44+2),"$",""))&amp;Formulas!O44+1,
IFERROR(INDEX(Datos!$A$2:$K$102,Formulas!O44,Formulas!P44+2),"")))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21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IFERROR(INDEX(Datos!$A$2:$K$102,Formulas!S43,RIGHT(Formulas!U43)+2),"")))</f>
        <v>45999</v>
      </c>
      <c r="T46" s="121" t="e" cm="1">
        <f t="array" aca="1" ref="T46" ca="1">IF(OR(Formulas!U44=0,Formulas!U44=""),"",HYPERLINK("["&amp;Archivo_Nombre&amp;"]Datos!"&amp;LEFT(SUBSTITUTE(ADDRESS(1,Formulas!U44+2),"$",""))&amp;Formulas!T44+1,
IFERROR(INDEX(Datos!$A$2:$K$102,Formulas!T44,Formulas!U44+2),"")))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21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IFERROR(INDEX(Datos!$A$2:$K$102,Formulas!X43,RIGHT(Formulas!Z43)+2),"")))</f>
        <v/>
      </c>
      <c r="Y46" s="121" t="str" cm="1">
        <f t="array" aca="1" ref="Y46" ca="1">IF(OR(Formulas!Z44=0,Formulas!Z44=""),"",HYPERLINK("["&amp;Archivo_Nombre&amp;"]Datos!"&amp;LEFT(SUBSTITUTE(ADDRESS(1,Formulas!Z44+2),"$",""))&amp;Formulas!Y44+1,
IFERROR(INDEX(Datos!$A$2:$K$102,Formulas!Y44,Formulas!Z44+2),"")))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21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IFERROR(INDEX(Datos!$A$2:$K$102,Formulas!AC43,RIGHT(Formulas!AE43)+2),"")))</f>
        <v/>
      </c>
      <c r="AD46" s="121" t="str" cm="1">
        <f t="array" aca="1" ref="AD46" ca="1">IF(OR(Formulas!AE44=0,Formulas!AE44=""),"",HYPERLINK("["&amp;Archivo_Nombre&amp;"]Datos!"&amp;LEFT(SUBSTITUTE(ADDRESS(1,Formulas!AE44+2),"$",""))&amp;Formulas!AD44+1,
IFERROR(INDEX(Datos!$A$2:$K$102,Formulas!AD44,Formulas!AE44+2),"")))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21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IFERROR(INDEX(Datos!$A$2:$K$102,Formulas!AH43,RIGHT(Formulas!AJ43)+2),"")))</f>
        <v/>
      </c>
      <c r="AI46" s="121" t="str" cm="1">
        <f t="array" aca="1" ref="AI46" ca="1">IF(OR(Formulas!AJ44=0,Formulas!AJ44=""),"",HYPERLINK("["&amp;Archivo_Nombre&amp;"]Datos!"&amp;LEFT(SUBSTITUTE(ADDRESS(1,Formulas!AJ44+2),"$",""))&amp;Formulas!AI44+1,
IFERROR(INDEX(Datos!$A$2:$K$102,Formulas!AI44,Formulas!AJ44+2),"")))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21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IFERROR(INDEX(Datos!$A$2:$K$102,Formulas!AM43,RIGHT(Formulas!AO43)+2),"")))</f>
        <v/>
      </c>
      <c r="AN46" s="121" t="str" cm="1">
        <f t="array" aca="1" ref="AN46" ca="1">IF(OR(Formulas!AO44=0,Formulas!AO44=""),"",HYPERLINK("["&amp;Archivo_Nombre&amp;"]Datos!"&amp;LEFT(SUBSTITUTE(ADDRESS(1,Formulas!AO44+2),"$",""))&amp;Formulas!AN44+1,
IFERROR(INDEX(Datos!$A$2:$K$102,Formulas!AN44,Formulas!AO44+2),"")))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21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IFERROR(INDEX(Datos!$A$2:$K$102,Formulas!AR43,RIGHT(Formulas!AT43)+2),"")))</f>
        <v/>
      </c>
      <c r="AS46" s="121" t="str" cm="1">
        <f t="array" aca="1" ref="AS46" ca="1">IF(OR(Formulas!AT44=0,Formulas!AT44=""),"",HYPERLINK("["&amp;Archivo_Nombre&amp;"]Datos!"&amp;LEFT(SUBSTITUTE(ADDRESS(1,Formulas!AT44+2),"$",""))&amp;Formulas!AS44+1,
IFERROR(INDEX(Datos!$A$2:$K$102,Formulas!AS44,Formulas!AT44+2),"")))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21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IFERROR(INDEX(Datos!$A$2:$K$102,Formulas!AW43,RIGHT(Formulas!AY43)+2),"")))</f>
        <v/>
      </c>
      <c r="AX46" s="121" t="str" cm="1">
        <f t="array" aca="1" ref="AX46" ca="1">IF(OR(Formulas!AY44=0,Formulas!AY44=""),"",HYPERLINK("["&amp;Archivo_Nombre&amp;"]Datos!"&amp;LEFT(SUBSTITUTE(ADDRESS(1,Formulas!AY44+2),"$",""))&amp;Formulas!AX44+1,
IFERROR(INDEX(Datos!$A$2:$K$102,Formulas!AX44,Formulas!AY44+2),"")))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21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IFERROR(INDEX(Datos!$A$2:$K$102,Formulas!D44,RIGHT(Formulas!F44)+2),"")))</f>
        <v/>
      </c>
      <c r="E47" s="121" t="str" cm="1">
        <f t="array" aca="1" ref="E47" ca="1">IF(OR(Formulas!F45=0,Formulas!F45=""),"",HYPERLINK("["&amp;Archivo_Nombre&amp;"]Datos!"&amp;LEFT(SUBSTITUTE(ADDRESS(1,Formulas!F45+2),"$",""))&amp;Formulas!E45+1,
IFERROR(INDEX(Datos!$A$2:$K$102,Formulas!E45,Formulas!F45+2),"")))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21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IFERROR(INDEX(Datos!$A$2:$K$102,Formulas!I44,RIGHT(Formulas!K44)+2),"")))</f>
        <v>2 días</v>
      </c>
      <c r="J47" s="121" t="e" cm="1">
        <f t="array" aca="1" ref="J47" ca="1">IF(OR(Formulas!K45=0,Formulas!K45=""),"",HYPERLINK("["&amp;Archivo_Nombre&amp;"]Datos!"&amp;LEFT(SUBSTITUTE(ADDRESS(1,Formulas!K45+2),"$",""))&amp;Formulas!J45+1,
IFERROR(INDEX(Datos!$A$2:$K$102,Formulas!J45,Formulas!K45+2),"")))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21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IFERROR(INDEX(Datos!$A$2:$K$102,Formulas!N44,RIGHT(Formulas!P44)+2),"")))</f>
        <v/>
      </c>
      <c r="O47" s="121" t="str" cm="1">
        <f t="array" aca="1" ref="O47" ca="1">IF(OR(Formulas!P45=0,Formulas!P45=""),"",HYPERLINK("["&amp;Archivo_Nombre&amp;"]Datos!"&amp;LEFT(SUBSTITUTE(ADDRESS(1,Formulas!P45+2),"$",""))&amp;Formulas!O45+1,
IFERROR(INDEX(Datos!$A$2:$K$102,Formulas!O45,Formulas!P45+2),"")))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21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IFERROR(INDEX(Datos!$A$2:$K$102,Formulas!S44,RIGHT(Formulas!U44)+2),"")))</f>
        <v>6 días</v>
      </c>
      <c r="T47" s="121" t="e" cm="1">
        <f t="array" aca="1" ref="T47" ca="1">IF(OR(Formulas!U45=0,Formulas!U45=""),"",HYPERLINK("["&amp;Archivo_Nombre&amp;"]Datos!"&amp;LEFT(SUBSTITUTE(ADDRESS(1,Formulas!U45+2),"$",""))&amp;Formulas!T45+1,
IFERROR(INDEX(Datos!$A$2:$K$102,Formulas!T45,Formulas!U45+2),"")))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21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IFERROR(INDEX(Datos!$A$2:$K$102,Formulas!X44,RIGHT(Formulas!Z44)+2),"")))</f>
        <v/>
      </c>
      <c r="Y47" s="121" t="str" cm="1">
        <f t="array" aca="1" ref="Y47" ca="1">IF(OR(Formulas!Z45=0,Formulas!Z45=""),"",HYPERLINK("["&amp;Archivo_Nombre&amp;"]Datos!"&amp;LEFT(SUBSTITUTE(ADDRESS(1,Formulas!Z45+2),"$",""))&amp;Formulas!Y45+1,
IFERROR(INDEX(Datos!$A$2:$K$102,Formulas!Y45,Formulas!Z45+2),"")))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21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IFERROR(INDEX(Datos!$A$2:$K$102,Formulas!AC44,RIGHT(Formulas!AE44)+2),"")))</f>
        <v/>
      </c>
      <c r="AD47" s="121" t="str" cm="1">
        <f t="array" aca="1" ref="AD47" ca="1">IF(OR(Formulas!AE45=0,Formulas!AE45=""),"",HYPERLINK("["&amp;Archivo_Nombre&amp;"]Datos!"&amp;LEFT(SUBSTITUTE(ADDRESS(1,Formulas!AE45+2),"$",""))&amp;Formulas!AD45+1,
IFERROR(INDEX(Datos!$A$2:$K$102,Formulas!AD45,Formulas!AE45+2),"")))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21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IFERROR(INDEX(Datos!$A$2:$K$102,Formulas!AH44,RIGHT(Formulas!AJ44)+2),"")))</f>
        <v/>
      </c>
      <c r="AI47" s="121" t="str" cm="1">
        <f t="array" aca="1" ref="AI47" ca="1">IF(OR(Formulas!AJ45=0,Formulas!AJ45=""),"",HYPERLINK("["&amp;Archivo_Nombre&amp;"]Datos!"&amp;LEFT(SUBSTITUTE(ADDRESS(1,Formulas!AJ45+2),"$",""))&amp;Formulas!AI45+1,
IFERROR(INDEX(Datos!$A$2:$K$102,Formulas!AI45,Formulas!AJ45+2),"")))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21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IFERROR(INDEX(Datos!$A$2:$K$102,Formulas!AM44,RIGHT(Formulas!AO44)+2),"")))</f>
        <v/>
      </c>
      <c r="AN47" s="121" t="str" cm="1">
        <f t="array" aca="1" ref="AN47" ca="1">IF(OR(Formulas!AO45=0,Formulas!AO45=""),"",HYPERLINK("["&amp;Archivo_Nombre&amp;"]Datos!"&amp;LEFT(SUBSTITUTE(ADDRESS(1,Formulas!AO45+2),"$",""))&amp;Formulas!AN45+1,
IFERROR(INDEX(Datos!$A$2:$K$102,Formulas!AN45,Formulas!AO45+2),"")))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21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IFERROR(INDEX(Datos!$A$2:$K$102,Formulas!AR44,RIGHT(Formulas!AT44)+2),"")))</f>
        <v/>
      </c>
      <c r="AS47" s="121" t="str" cm="1">
        <f t="array" aca="1" ref="AS47" ca="1">IF(OR(Formulas!AT45=0,Formulas!AT45=""),"",HYPERLINK("["&amp;Archivo_Nombre&amp;"]Datos!"&amp;LEFT(SUBSTITUTE(ADDRESS(1,Formulas!AT45+2),"$",""))&amp;Formulas!AS45+1,
IFERROR(INDEX(Datos!$A$2:$K$102,Formulas!AS45,Formulas!AT45+2),"")))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21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IFERROR(INDEX(Datos!$A$2:$K$102,Formulas!AW44,RIGHT(Formulas!AY44)+2),"")))</f>
        <v/>
      </c>
      <c r="AX47" s="121" t="str" cm="1">
        <f t="array" aca="1" ref="AX47" ca="1">IF(OR(Formulas!AY45=0,Formulas!AY45=""),"",HYPERLINK("["&amp;Archivo_Nombre&amp;"]Datos!"&amp;LEFT(SUBSTITUTE(ADDRESS(1,Formulas!AY45+2),"$",""))&amp;Formulas!AX45+1,
IFERROR(INDEX(Datos!$A$2:$K$102,Formulas!AX45,Formulas!AY45+2),"")))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21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IFERROR(INDEX(Datos!$A$2:$K$102,Formulas!D45,RIGHT(Formulas!F45)+2),"")))</f>
        <v/>
      </c>
      <c r="E48" s="121" t="str" cm="1">
        <f t="array" aca="1" ref="E48" ca="1">IF(OR(Formulas!F46=0,Formulas!F46=""),"",HYPERLINK("["&amp;Archivo_Nombre&amp;"]Datos!"&amp;LEFT(SUBSTITUTE(ADDRESS(1,Formulas!F46+2),"$",""))&amp;Formulas!E46+1,
IFERROR(INDEX(Datos!$A$2:$K$102,Formulas!E46,Formulas!F46+2),"")))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21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IFERROR(INDEX(Datos!$A$2:$K$102,Formulas!I45,RIGHT(Formulas!K45)+2),"")))</f>
        <v>0 días</v>
      </c>
      <c r="J48" s="121" t="e" cm="1">
        <f t="array" aca="1" ref="J48" ca="1">IF(OR(Formulas!K46=0,Formulas!K46=""),"",HYPERLINK("["&amp;Archivo_Nombre&amp;"]Datos!"&amp;LEFT(SUBSTITUTE(ADDRESS(1,Formulas!K46+2),"$",""))&amp;Formulas!J46+1,
IFERROR(INDEX(Datos!$A$2:$K$102,Formulas!J46,Formulas!K46+2),"")))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21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IFERROR(INDEX(Datos!$A$2:$K$102,Formulas!N45,RIGHT(Formulas!P45)+2),"")))</f>
        <v/>
      </c>
      <c r="O48" s="121" t="str" cm="1">
        <f t="array" aca="1" ref="O48" ca="1">IF(OR(Formulas!P46=0,Formulas!P46=""),"",HYPERLINK("["&amp;Archivo_Nombre&amp;"]Datos!"&amp;LEFT(SUBSTITUTE(ADDRESS(1,Formulas!P46+2),"$",""))&amp;Formulas!O46+1,
IFERROR(INDEX(Datos!$A$2:$K$102,Formulas!O46,Formulas!P46+2),"")))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21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IFERROR(INDEX(Datos!$A$2:$K$102,Formulas!S45,RIGHT(Formulas!U45)+2),"")))</f>
        <v>0 días</v>
      </c>
      <c r="T48" s="121" t="e" cm="1">
        <f t="array" aca="1" ref="T48" ca="1">IF(OR(Formulas!U46=0,Formulas!U46=""),"",HYPERLINK("["&amp;Archivo_Nombre&amp;"]Datos!"&amp;LEFT(SUBSTITUTE(ADDRESS(1,Formulas!U46+2),"$",""))&amp;Formulas!T46+1,
IFERROR(INDEX(Datos!$A$2:$K$102,Formulas!T46,Formulas!U46+2),"")))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21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IFERROR(INDEX(Datos!$A$2:$K$102,Formulas!X45,RIGHT(Formulas!Z45)+2),"")))</f>
        <v/>
      </c>
      <c r="Y48" s="121" t="str" cm="1">
        <f t="array" aca="1" ref="Y48" ca="1">IF(OR(Formulas!Z46=0,Formulas!Z46=""),"",HYPERLINK("["&amp;Archivo_Nombre&amp;"]Datos!"&amp;LEFT(SUBSTITUTE(ADDRESS(1,Formulas!Z46+2),"$",""))&amp;Formulas!Y46+1,
IFERROR(INDEX(Datos!$A$2:$K$102,Formulas!Y46,Formulas!Z46+2),"")))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21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IFERROR(INDEX(Datos!$A$2:$K$102,Formulas!AC45,RIGHT(Formulas!AE45)+2),"")))</f>
        <v/>
      </c>
      <c r="AD48" s="121" t="str" cm="1">
        <f t="array" aca="1" ref="AD48" ca="1">IF(OR(Formulas!AE46=0,Formulas!AE46=""),"",HYPERLINK("["&amp;Archivo_Nombre&amp;"]Datos!"&amp;LEFT(SUBSTITUTE(ADDRESS(1,Formulas!AE46+2),"$",""))&amp;Formulas!AD46+1,
IFERROR(INDEX(Datos!$A$2:$K$102,Formulas!AD46,Formulas!AE46+2),"")))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21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IFERROR(INDEX(Datos!$A$2:$K$102,Formulas!AH45,RIGHT(Formulas!AJ45)+2),"")))</f>
        <v/>
      </c>
      <c r="AI48" s="121" t="str" cm="1">
        <f t="array" aca="1" ref="AI48" ca="1">IF(OR(Formulas!AJ46=0,Formulas!AJ46=""),"",HYPERLINK("["&amp;Archivo_Nombre&amp;"]Datos!"&amp;LEFT(SUBSTITUTE(ADDRESS(1,Formulas!AJ46+2),"$",""))&amp;Formulas!AI46+1,
IFERROR(INDEX(Datos!$A$2:$K$102,Formulas!AI46,Formulas!AJ46+2),"")))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21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IFERROR(INDEX(Datos!$A$2:$K$102,Formulas!AM45,RIGHT(Formulas!AO45)+2),"")))</f>
        <v/>
      </c>
      <c r="AN48" s="121" t="str" cm="1">
        <f t="array" aca="1" ref="AN48" ca="1">IF(OR(Formulas!AO46=0,Formulas!AO46=""),"",HYPERLINK("["&amp;Archivo_Nombre&amp;"]Datos!"&amp;LEFT(SUBSTITUTE(ADDRESS(1,Formulas!AO46+2),"$",""))&amp;Formulas!AN46+1,
IFERROR(INDEX(Datos!$A$2:$K$102,Formulas!AN46,Formulas!AO46+2),"")))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21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IFERROR(INDEX(Datos!$A$2:$K$102,Formulas!AR45,RIGHT(Formulas!AT45)+2),"")))</f>
        <v/>
      </c>
      <c r="AS48" s="121" t="str" cm="1">
        <f t="array" aca="1" ref="AS48" ca="1">IF(OR(Formulas!AT46=0,Formulas!AT46=""),"",HYPERLINK("["&amp;Archivo_Nombre&amp;"]Datos!"&amp;LEFT(SUBSTITUTE(ADDRESS(1,Formulas!AT46+2),"$",""))&amp;Formulas!AS46+1,
IFERROR(INDEX(Datos!$A$2:$K$102,Formulas!AS46,Formulas!AT46+2),"")))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21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IFERROR(INDEX(Datos!$A$2:$K$102,Formulas!AW45,RIGHT(Formulas!AY45)+2),"")))</f>
        <v/>
      </c>
      <c r="AX48" s="121" t="str" cm="1">
        <f t="array" aca="1" ref="AX48" ca="1">IF(OR(Formulas!AY46=0,Formulas!AY46=""),"",HYPERLINK("["&amp;Archivo_Nombre&amp;"]Datos!"&amp;LEFT(SUBSTITUTE(ADDRESS(1,Formulas!AY46+2),"$",""))&amp;Formulas!AX46+1,
IFERROR(INDEX(Datos!$A$2:$K$102,Formulas!AX46,Formulas!AY46+2),"")))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21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IFERROR(INDEX(Datos!$A$2:$K$102,Formulas!D46,RIGHT(Formulas!F46)+2),"")))</f>
        <v/>
      </c>
      <c r="E49" s="121" t="str" cm="1">
        <f t="array" aca="1" ref="E49" ca="1">IF(OR(Formulas!F47=0,Formulas!F47=""),"",HYPERLINK("["&amp;Archivo_Nombre&amp;"]Datos!"&amp;LEFT(SUBSTITUTE(ADDRESS(1,Formulas!F47+2),"$",""))&amp;Formulas!E47+1,
IFERROR(INDEX(Datos!$A$2:$K$102,Formulas!E47,Formulas!F47+2),"")))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21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IFERROR(INDEX(Datos!$A$2:$K$102,Formulas!I46,RIGHT(Formulas!K46)+2),"")))</f>
        <v>Madellyn Tasipanta</v>
      </c>
      <c r="J49" s="121" t="str" cm="1">
        <f t="array" aca="1" ref="J49" ca="1">IF(OR(Formulas!K47=0,Formulas!K47=""),"",HYPERLINK("["&amp;Archivo_Nombre&amp;"]Datos!"&amp;LEFT(SUBSTITUTE(ADDRESS(1,Formulas!K47+2),"$",""))&amp;Formulas!J47+1,
IFERROR(INDEX(Datos!$A$2:$K$102,Formulas!J47,Formulas!K47+2),"")))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21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IFERROR(INDEX(Datos!$A$2:$K$102,Formulas!N46,RIGHT(Formulas!P46)+2),"")))</f>
        <v/>
      </c>
      <c r="O49" s="121" t="str" cm="1">
        <f t="array" aca="1" ref="O49" ca="1">IF(OR(Formulas!P47=0,Formulas!P47=""),"",HYPERLINK("["&amp;Archivo_Nombre&amp;"]Datos!"&amp;LEFT(SUBSTITUTE(ADDRESS(1,Formulas!P47+2),"$",""))&amp;Formulas!O47+1,
IFERROR(INDEX(Datos!$A$2:$K$102,Formulas!O47,Formulas!P47+2),"")))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21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IFERROR(INDEX(Datos!$A$2:$K$102,Formulas!S46,RIGHT(Formulas!U46)+2),"")))</f>
        <v>Madellyn Tasipanta</v>
      </c>
      <c r="T49" s="121" t="str" cm="1">
        <f t="array" aca="1" ref="T49" ca="1">IF(OR(Formulas!U47=0,Formulas!U47=""),"",HYPERLINK("["&amp;Archivo_Nombre&amp;"]Datos!"&amp;LEFT(SUBSTITUTE(ADDRESS(1,Formulas!U47+2),"$",""))&amp;Formulas!T47+1,
IFERROR(INDEX(Datos!$A$2:$K$102,Formulas!T47,Formulas!U47+2),"")))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21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IFERROR(INDEX(Datos!$A$2:$K$102,Formulas!X46,RIGHT(Formulas!Z46)+2),"")))</f>
        <v/>
      </c>
      <c r="Y49" s="121" t="str" cm="1">
        <f t="array" aca="1" ref="Y49" ca="1">IF(OR(Formulas!Z47=0,Formulas!Z47=""),"",HYPERLINK("["&amp;Archivo_Nombre&amp;"]Datos!"&amp;LEFT(SUBSTITUTE(ADDRESS(1,Formulas!Z47+2),"$",""))&amp;Formulas!Y47+1,
IFERROR(INDEX(Datos!$A$2:$K$102,Formulas!Y47,Formulas!Z47+2),"")))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21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IFERROR(INDEX(Datos!$A$2:$K$102,Formulas!AC46,RIGHT(Formulas!AE46)+2),"")))</f>
        <v/>
      </c>
      <c r="AD49" s="121" t="str" cm="1">
        <f t="array" aca="1" ref="AD49" ca="1">IF(OR(Formulas!AE47=0,Formulas!AE47=""),"",HYPERLINK("["&amp;Archivo_Nombre&amp;"]Datos!"&amp;LEFT(SUBSTITUTE(ADDRESS(1,Formulas!AE47+2),"$",""))&amp;Formulas!AD47+1,
IFERROR(INDEX(Datos!$A$2:$K$102,Formulas!AD47,Formulas!AE47+2),"")))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21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IFERROR(INDEX(Datos!$A$2:$K$102,Formulas!AH46,RIGHT(Formulas!AJ46)+2),"")))</f>
        <v/>
      </c>
      <c r="AI49" s="121" t="str" cm="1">
        <f t="array" aca="1" ref="AI49" ca="1">IF(OR(Formulas!AJ47=0,Formulas!AJ47=""),"",HYPERLINK("["&amp;Archivo_Nombre&amp;"]Datos!"&amp;LEFT(SUBSTITUTE(ADDRESS(1,Formulas!AJ47+2),"$",""))&amp;Formulas!AI47+1,
IFERROR(INDEX(Datos!$A$2:$K$102,Formulas!AI47,Formulas!AJ47+2),"")))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21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IFERROR(INDEX(Datos!$A$2:$K$102,Formulas!AM46,RIGHT(Formulas!AO46)+2),"")))</f>
        <v/>
      </c>
      <c r="AN49" s="121" t="str" cm="1">
        <f t="array" aca="1" ref="AN49" ca="1">IF(OR(Formulas!AO47=0,Formulas!AO47=""),"",HYPERLINK("["&amp;Archivo_Nombre&amp;"]Datos!"&amp;LEFT(SUBSTITUTE(ADDRESS(1,Formulas!AO47+2),"$",""))&amp;Formulas!AN47+1,
IFERROR(INDEX(Datos!$A$2:$K$102,Formulas!AN47,Formulas!AO47+2),"")))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21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IFERROR(INDEX(Datos!$A$2:$K$102,Formulas!AR46,RIGHT(Formulas!AT46)+2),"")))</f>
        <v/>
      </c>
      <c r="AS49" s="121" t="str" cm="1">
        <f t="array" aca="1" ref="AS49" ca="1">IF(OR(Formulas!AT47=0,Formulas!AT47=""),"",HYPERLINK("["&amp;Archivo_Nombre&amp;"]Datos!"&amp;LEFT(SUBSTITUTE(ADDRESS(1,Formulas!AT47+2),"$",""))&amp;Formulas!AS47+1,
IFERROR(INDEX(Datos!$A$2:$K$102,Formulas!AS47,Formulas!AT47+2),"")))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21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IFERROR(INDEX(Datos!$A$2:$K$102,Formulas!AW46,RIGHT(Formulas!AY46)+2),"")))</f>
        <v/>
      </c>
      <c r="AX49" s="121" t="str" cm="1">
        <f t="array" aca="1" ref="AX49" ca="1">IF(OR(Formulas!AY47=0,Formulas!AY47=""),"",HYPERLINK("["&amp;Archivo_Nombre&amp;"]Datos!"&amp;LEFT(SUBSTITUTE(ADDRESS(1,Formulas!AY47+2),"$",""))&amp;Formulas!AX47+1,
IFERROR(INDEX(Datos!$A$2:$K$102,Formulas!AX47,Formulas!AY47+2),"")))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21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IFERROR(INDEX(Datos!$A$2:$K$102,Formulas!D47,RIGHT(Formulas!F47)+2),"")))</f>
        <v/>
      </c>
      <c r="E50" s="121" t="str" cm="1">
        <f t="array" aca="1" ref="E50" ca="1">IF(OR(Formulas!F48=0,Formulas!F48=""),"",HYPERLINK("["&amp;Archivo_Nombre&amp;"]Datos!"&amp;LEFT(SUBSTITUTE(ADDRESS(1,Formulas!F48+2),"$",""))&amp;Formulas!E48+1,
IFERROR(INDEX(Datos!$A$2:$K$102,Formulas!E48,Formulas!F48+2),"")))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21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IFERROR(INDEX(Datos!$A$2:$K$102,Formulas!I47,RIGHT(Formulas!K47)+2),"")))</f>
        <v/>
      </c>
      <c r="J50" s="121" t="e" cm="1">
        <f t="array" aca="1" ref="J50" ca="1">IF(OR(Formulas!K48=0,Formulas!K48=""),"",HYPERLINK("["&amp;Archivo_Nombre&amp;"]Datos!"&amp;LEFT(SUBSTITUTE(ADDRESS(1,Formulas!K48+2),"$",""))&amp;Formulas!J48+1,
IFERROR(INDEX(Datos!$A$2:$K$102,Formulas!J48,Formulas!K48+2),"")))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21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IFERROR(INDEX(Datos!$A$2:$K$102,Formulas!N47,RIGHT(Formulas!P47)+2),"")))</f>
        <v/>
      </c>
      <c r="O50" s="121" t="str" cm="1">
        <f t="array" aca="1" ref="O50" ca="1">IF(OR(Formulas!P48=0,Formulas!P48=""),"",HYPERLINK("["&amp;Archivo_Nombre&amp;"]Datos!"&amp;LEFT(SUBSTITUTE(ADDRESS(1,Formulas!P48+2),"$",""))&amp;Formulas!O48+1,
IFERROR(INDEX(Datos!$A$2:$K$102,Formulas!O48,Formulas!P48+2),"")))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21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IFERROR(INDEX(Datos!$A$2:$K$102,Formulas!S47,RIGHT(Formulas!U47)+2),"")))</f>
        <v/>
      </c>
      <c r="T50" s="121" t="e" cm="1">
        <f t="array" aca="1" ref="T50" ca="1">IF(OR(Formulas!U48=0,Formulas!U48=""),"",HYPERLINK("["&amp;Archivo_Nombre&amp;"]Datos!"&amp;LEFT(SUBSTITUTE(ADDRESS(1,Formulas!U48+2),"$",""))&amp;Formulas!T48+1,
IFERROR(INDEX(Datos!$A$2:$K$102,Formulas!T48,Formulas!U48+2),"")))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21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IFERROR(INDEX(Datos!$A$2:$K$102,Formulas!X47,RIGHT(Formulas!Z47)+2),"")))</f>
        <v/>
      </c>
      <c r="Y50" s="121" t="str" cm="1">
        <f t="array" aca="1" ref="Y50" ca="1">IF(OR(Formulas!Z48=0,Formulas!Z48=""),"",HYPERLINK("["&amp;Archivo_Nombre&amp;"]Datos!"&amp;LEFT(SUBSTITUTE(ADDRESS(1,Formulas!Z48+2),"$",""))&amp;Formulas!Y48+1,
IFERROR(INDEX(Datos!$A$2:$K$102,Formulas!Y48,Formulas!Z48+2),"")))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21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IFERROR(INDEX(Datos!$A$2:$K$102,Formulas!AC47,RIGHT(Formulas!AE47)+2),"")))</f>
        <v/>
      </c>
      <c r="AD50" s="121" t="str" cm="1">
        <f t="array" aca="1" ref="AD50" ca="1">IF(OR(Formulas!AE48=0,Formulas!AE48=""),"",HYPERLINK("["&amp;Archivo_Nombre&amp;"]Datos!"&amp;LEFT(SUBSTITUTE(ADDRESS(1,Formulas!AE48+2),"$",""))&amp;Formulas!AD48+1,
IFERROR(INDEX(Datos!$A$2:$K$102,Formulas!AD48,Formulas!AE48+2),"")))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21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IFERROR(INDEX(Datos!$A$2:$K$102,Formulas!AH47,RIGHT(Formulas!AJ47)+2),"")))</f>
        <v/>
      </c>
      <c r="AI50" s="121" t="str" cm="1">
        <f t="array" aca="1" ref="AI50" ca="1">IF(OR(Formulas!AJ48=0,Formulas!AJ48=""),"",HYPERLINK("["&amp;Archivo_Nombre&amp;"]Datos!"&amp;LEFT(SUBSTITUTE(ADDRESS(1,Formulas!AJ48+2),"$",""))&amp;Formulas!AI48+1,
IFERROR(INDEX(Datos!$A$2:$K$102,Formulas!AI48,Formulas!AJ48+2),"")))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21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IFERROR(INDEX(Datos!$A$2:$K$102,Formulas!AM47,RIGHT(Formulas!AO47)+2),"")))</f>
        <v/>
      </c>
      <c r="AN50" s="121" t="str" cm="1">
        <f t="array" aca="1" ref="AN50" ca="1">IF(OR(Formulas!AO48=0,Formulas!AO48=""),"",HYPERLINK("["&amp;Archivo_Nombre&amp;"]Datos!"&amp;LEFT(SUBSTITUTE(ADDRESS(1,Formulas!AO48+2),"$",""))&amp;Formulas!AN48+1,
IFERROR(INDEX(Datos!$A$2:$K$102,Formulas!AN48,Formulas!AO48+2),"")))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21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IFERROR(INDEX(Datos!$A$2:$K$102,Formulas!AR47,RIGHT(Formulas!AT47)+2),"")))</f>
        <v/>
      </c>
      <c r="AS50" s="121" t="str" cm="1">
        <f t="array" aca="1" ref="AS50" ca="1">IF(OR(Formulas!AT48=0,Formulas!AT48=""),"",HYPERLINK("["&amp;Archivo_Nombre&amp;"]Datos!"&amp;LEFT(SUBSTITUTE(ADDRESS(1,Formulas!AT48+2),"$",""))&amp;Formulas!AS48+1,
IFERROR(INDEX(Datos!$A$2:$K$102,Formulas!AS48,Formulas!AT48+2),"")))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21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IFERROR(INDEX(Datos!$A$2:$K$102,Formulas!AW47,RIGHT(Formulas!AY47)+2),"")))</f>
        <v/>
      </c>
      <c r="AX50" s="121" t="str" cm="1">
        <f t="array" aca="1" ref="AX50" ca="1">IF(OR(Formulas!AY48=0,Formulas!AY48=""),"",HYPERLINK("["&amp;Archivo_Nombre&amp;"]Datos!"&amp;LEFT(SUBSTITUTE(ADDRESS(1,Formulas!AY48+2),"$",""))&amp;Formulas!AX48+1,
IFERROR(INDEX(Datos!$A$2:$K$102,Formulas!AX48,Formulas!AY48+2),"")))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21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IFERROR(INDEX(Datos!$A$2:$K$102,Formulas!D48,RIGHT(Formulas!F48)+2),"")))</f>
        <v/>
      </c>
      <c r="E51" s="121" t="str" cm="1">
        <f t="array" aca="1" ref="E51" ca="1">IF(OR(Formulas!F49=0,Formulas!F49=""),"",HYPERLINK("["&amp;Archivo_Nombre&amp;"]Datos!"&amp;LEFT(SUBSTITUTE(ADDRESS(1,Formulas!F49+2),"$",""))&amp;Formulas!E49+1,
IFERROR(INDEX(Datos!$A$2:$K$102,Formulas!E49,Formulas!F49+2),"")))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64:</v>
      </c>
      <c r="I51" s="121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IFERROR(INDEX(Datos!$A$2:$K$102,Formulas!I48,RIGHT(Formulas!K48)+2),"")))</f>
        <v>REQ007-3 Registrar el contrato con sus datos esenciales.</v>
      </c>
      <c r="J51" s="121" t="e" cm="1">
        <f t="array" aca="1" ref="J51" ca="1">IF(OR(Formulas!K49=0,Formulas!K49=""),"",HYPERLINK("["&amp;Archivo_Nombre&amp;"]Datos!"&amp;LEFT(SUBSTITUTE(ADDRESS(1,Formulas!K49+2),"$",""))&amp;Formulas!J49+1,
IFERROR(INDEX(Datos!$A$2:$K$102,Formulas!J49,Formulas!K49+2),"")))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21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IFERROR(INDEX(Datos!$A$2:$K$102,Formulas!N48,RIGHT(Formulas!P48)+2),"")))</f>
        <v/>
      </c>
      <c r="O51" s="121" t="str" cm="1">
        <f t="array" aca="1" ref="O51" ca="1">IF(OR(Formulas!P49=0,Formulas!P49=""),"",HYPERLINK("["&amp;Archivo_Nombre&amp;"]Datos!"&amp;LEFT(SUBSTITUTE(ADDRESS(1,Formulas!P49+2),"$",""))&amp;Formulas!O49+1,
IFERROR(INDEX(Datos!$A$2:$K$102,Formulas!O49,Formulas!P49+2),"")))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53:</v>
      </c>
      <c r="S51" s="121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IFERROR(INDEX(Datos!$A$2:$K$102,Formulas!S48,RIGHT(Formulas!U48)+2),"")))</f>
        <v>Revisión archivo Kanban de los sprint0, sprint1, sprint2</v>
      </c>
      <c r="T51" s="121" t="e" cm="1">
        <f t="array" aca="1" ref="T51" ca="1">IF(OR(Formulas!U49=0,Formulas!U49=""),"",HYPERLINK("["&amp;Archivo_Nombre&amp;"]Datos!"&amp;LEFT(SUBSTITUTE(ADDRESS(1,Formulas!U49+2),"$",""))&amp;Formulas!T49+1,
IFERROR(INDEX(Datos!$A$2:$K$102,Formulas!T49,Formulas!U49+2),"")))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21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IFERROR(INDEX(Datos!$A$2:$K$102,Formulas!X48,RIGHT(Formulas!Z48)+2),"")))</f>
        <v/>
      </c>
      <c r="Y51" s="121" t="str" cm="1">
        <f t="array" aca="1" ref="Y51" ca="1">IF(OR(Formulas!Z49=0,Formulas!Z49=""),"",HYPERLINK("["&amp;Archivo_Nombre&amp;"]Datos!"&amp;LEFT(SUBSTITUTE(ADDRESS(1,Formulas!Z49+2),"$",""))&amp;Formulas!Y49+1,
IFERROR(INDEX(Datos!$A$2:$K$102,Formulas!Y49,Formulas!Z49+2),"")))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21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IFERROR(INDEX(Datos!$A$2:$K$102,Formulas!AC48,RIGHT(Formulas!AE48)+2),"")))</f>
        <v/>
      </c>
      <c r="AD51" s="121" t="str" cm="1">
        <f t="array" aca="1" ref="AD51" ca="1">IF(OR(Formulas!AE49=0,Formulas!AE49=""),"",HYPERLINK("["&amp;Archivo_Nombre&amp;"]Datos!"&amp;LEFT(SUBSTITUTE(ADDRESS(1,Formulas!AE49+2),"$",""))&amp;Formulas!AD49+1,
IFERROR(INDEX(Datos!$A$2:$K$102,Formulas!AD49,Formulas!AE49+2),"")))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21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IFERROR(INDEX(Datos!$A$2:$K$102,Formulas!AH48,RIGHT(Formulas!AJ48)+2),"")))</f>
        <v/>
      </c>
      <c r="AI51" s="121" t="str" cm="1">
        <f t="array" aca="1" ref="AI51" ca="1">IF(OR(Formulas!AJ49=0,Formulas!AJ49=""),"",HYPERLINK("["&amp;Archivo_Nombre&amp;"]Datos!"&amp;LEFT(SUBSTITUTE(ADDRESS(1,Formulas!AJ49+2),"$",""))&amp;Formulas!AI49+1,
IFERROR(INDEX(Datos!$A$2:$K$102,Formulas!AI49,Formulas!AJ49+2),"")))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21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IFERROR(INDEX(Datos!$A$2:$K$102,Formulas!AM48,RIGHT(Formulas!AO48)+2),"")))</f>
        <v/>
      </c>
      <c r="AN51" s="121" t="str" cm="1">
        <f t="array" aca="1" ref="AN51" ca="1">IF(OR(Formulas!AO49=0,Formulas!AO49=""),"",HYPERLINK("["&amp;Archivo_Nombre&amp;"]Datos!"&amp;LEFT(SUBSTITUTE(ADDRESS(1,Formulas!AO49+2),"$",""))&amp;Formulas!AN49+1,
IFERROR(INDEX(Datos!$A$2:$K$102,Formulas!AN49,Formulas!AO49+2),"")))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21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IFERROR(INDEX(Datos!$A$2:$K$102,Formulas!AR48,RIGHT(Formulas!AT48)+2),"")))</f>
        <v/>
      </c>
      <c r="AS51" s="121" t="str" cm="1">
        <f t="array" aca="1" ref="AS51" ca="1">IF(OR(Formulas!AT49=0,Formulas!AT49=""),"",HYPERLINK("["&amp;Archivo_Nombre&amp;"]Datos!"&amp;LEFT(SUBSTITUTE(ADDRESS(1,Formulas!AT49+2),"$",""))&amp;Formulas!AS49+1,
IFERROR(INDEX(Datos!$A$2:$K$102,Formulas!AS49,Formulas!AT49+2),"")))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21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IFERROR(INDEX(Datos!$A$2:$K$102,Formulas!AW48,RIGHT(Formulas!AY48)+2),"")))</f>
        <v/>
      </c>
      <c r="AX51" s="121" t="str" cm="1">
        <f t="array" aca="1" ref="AX51" ca="1">IF(OR(Formulas!AY49=0,Formulas!AY49=""),"",HYPERLINK("["&amp;Archivo_Nombre&amp;"]Datos!"&amp;LEFT(SUBSTITUTE(ADDRESS(1,Formulas!AY49+2),"$",""))&amp;Formulas!AX49+1,
IFERROR(INDEX(Datos!$A$2:$K$102,Formulas!AX49,Formulas!AY49+2),"")))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21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IFERROR(INDEX(Datos!$A$2:$K$102,Formulas!D49,RIGHT(Formulas!F49)+2),"")))</f>
        <v/>
      </c>
      <c r="E52" s="121" t="str" cm="1">
        <f t="array" aca="1" ref="E52" ca="1">IF(OR(Formulas!F50=0,Formulas!F50=""),"",HYPERLINK("["&amp;Archivo_Nombre&amp;"]Datos!"&amp;LEFT(SUBSTITUTE(ADDRESS(1,Formulas!F50+2),"$",""))&amp;Formulas!E50+1,
IFERROR(INDEX(Datos!$A$2:$K$102,Formulas!E50,Formulas!F50+2),"")))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21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IFERROR(INDEX(Datos!$A$2:$K$102,Formulas!I49,RIGHT(Formulas!K49)+2),"")))</f>
        <v>0</v>
      </c>
      <c r="J52" s="121" t="e" cm="1">
        <f t="array" aca="1" ref="J52" ca="1">IF(OR(Formulas!K50=0,Formulas!K50=""),"",HYPERLINK("["&amp;Archivo_Nombre&amp;"]Datos!"&amp;LEFT(SUBSTITUTE(ADDRESS(1,Formulas!K50+2),"$",""))&amp;Formulas!J50+1,
IFERROR(INDEX(Datos!$A$2:$K$102,Formulas!J50,Formulas!K50+2),"")))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1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IFERROR(INDEX(Datos!$A$2:$K$102,Formulas!N49,RIGHT(Formulas!P49)+2),"")))</f>
        <v/>
      </c>
      <c r="O52" s="121" t="str" cm="1">
        <f t="array" aca="1" ref="O52" ca="1">IF(OR(Formulas!P50=0,Formulas!P50=""),"",HYPERLINK("["&amp;Archivo_Nombre&amp;"]Datos!"&amp;LEFT(SUBSTITUTE(ADDRESS(1,Formulas!P50+2),"$",""))&amp;Formulas!O50+1,
IFERROR(INDEX(Datos!$A$2:$K$102,Formulas!O50,Formulas!P50+2),"")))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21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IFERROR(INDEX(Datos!$A$2:$K$102,Formulas!S49,RIGHT(Formulas!U49)+2),"")))</f>
        <v>Revisión por parte de la ingeniera guía del proyecto</v>
      </c>
      <c r="T52" s="121" t="e" cm="1">
        <f t="array" aca="1" ref="T52" ca="1">IF(OR(Formulas!U50=0,Formulas!U50=""),"",HYPERLINK("["&amp;Archivo_Nombre&amp;"]Datos!"&amp;LEFT(SUBSTITUTE(ADDRESS(1,Formulas!U50+2),"$",""))&amp;Formulas!T50+1,
IFERROR(INDEX(Datos!$A$2:$K$102,Formulas!T50,Formulas!U50+2),"")))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21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IFERROR(INDEX(Datos!$A$2:$K$102,Formulas!X49,RIGHT(Formulas!Z49)+2),"")))</f>
        <v/>
      </c>
      <c r="Y52" s="121" t="str" cm="1">
        <f t="array" aca="1" ref="Y52" ca="1">IF(OR(Formulas!Z50=0,Formulas!Z50=""),"",HYPERLINK("["&amp;Archivo_Nombre&amp;"]Datos!"&amp;LEFT(SUBSTITUTE(ADDRESS(1,Formulas!Z50+2),"$",""))&amp;Formulas!Y50+1,
IFERROR(INDEX(Datos!$A$2:$K$102,Formulas!Y50,Formulas!Z50+2),"")))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21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IFERROR(INDEX(Datos!$A$2:$K$102,Formulas!AC49,RIGHT(Formulas!AE49)+2),"")))</f>
        <v/>
      </c>
      <c r="AD52" s="121" t="str" cm="1">
        <f t="array" aca="1" ref="AD52" ca="1">IF(OR(Formulas!AE50=0,Formulas!AE50=""),"",HYPERLINK("["&amp;Archivo_Nombre&amp;"]Datos!"&amp;LEFT(SUBSTITUTE(ADDRESS(1,Formulas!AE50+2),"$",""))&amp;Formulas!AD50+1,
IFERROR(INDEX(Datos!$A$2:$K$102,Formulas!AD50,Formulas!AE50+2),"")))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21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IFERROR(INDEX(Datos!$A$2:$K$102,Formulas!AH49,RIGHT(Formulas!AJ49)+2),"")))</f>
        <v/>
      </c>
      <c r="AI52" s="121" t="str" cm="1">
        <f t="array" aca="1" ref="AI52" ca="1">IF(OR(Formulas!AJ50=0,Formulas!AJ50=""),"",HYPERLINK("["&amp;Archivo_Nombre&amp;"]Datos!"&amp;LEFT(SUBSTITUTE(ADDRESS(1,Formulas!AJ50+2),"$",""))&amp;Formulas!AI50+1,
IFERROR(INDEX(Datos!$A$2:$K$102,Formulas!AI50,Formulas!AJ50+2),"")))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21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IFERROR(INDEX(Datos!$A$2:$K$102,Formulas!AM49,RIGHT(Formulas!AO49)+2),"")))</f>
        <v/>
      </c>
      <c r="AN52" s="121" t="str" cm="1">
        <f t="array" aca="1" ref="AN52" ca="1">IF(OR(Formulas!AO50=0,Formulas!AO50=""),"",HYPERLINK("["&amp;Archivo_Nombre&amp;"]Datos!"&amp;LEFT(SUBSTITUTE(ADDRESS(1,Formulas!AO50+2),"$",""))&amp;Formulas!AN50+1,
IFERROR(INDEX(Datos!$A$2:$K$102,Formulas!AN50,Formulas!AO50+2),"")))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21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IFERROR(INDEX(Datos!$A$2:$K$102,Formulas!AR49,RIGHT(Formulas!AT49)+2),"")))</f>
        <v/>
      </c>
      <c r="AS52" s="121" t="str" cm="1">
        <f t="array" aca="1" ref="AS52" ca="1">IF(OR(Formulas!AT50=0,Formulas!AT50=""),"",HYPERLINK("["&amp;Archivo_Nombre&amp;"]Datos!"&amp;LEFT(SUBSTITUTE(ADDRESS(1,Formulas!AT50+2),"$",""))&amp;Formulas!AS50+1,
IFERROR(INDEX(Datos!$A$2:$K$102,Formulas!AS50,Formulas!AT50+2),"")))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21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IFERROR(INDEX(Datos!$A$2:$K$102,Formulas!AW49,RIGHT(Formulas!AY49)+2),"")))</f>
        <v/>
      </c>
      <c r="AX52" s="121" t="str" cm="1">
        <f t="array" aca="1" ref="AX52" ca="1">IF(OR(Formulas!AY50=0,Formulas!AY50=""),"",HYPERLINK("["&amp;Archivo_Nombre&amp;"]Datos!"&amp;LEFT(SUBSTITUTE(ADDRESS(1,Formulas!AY50+2),"$",""))&amp;Formulas!AX50+1,
IFERROR(INDEX(Datos!$A$2:$K$102,Formulas!AX50,Formulas!AY50+2),"")))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21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IFERROR(INDEX(Datos!$A$2:$K$102,Formulas!D50,RIGHT(Formulas!F50)+2),"")))</f>
        <v/>
      </c>
      <c r="E53" s="121" t="str" cm="1">
        <f t="array" aca="1" ref="E53" ca="1">IF(OR(Formulas!F51=0,Formulas!F51=""),"",HYPERLINK("["&amp;Archivo_Nombre&amp;"]Datos!"&amp;LEFT(SUBSTITUTE(ADDRESS(1,Formulas!F51+2),"$",""))&amp;Formulas!E51+1,
IFERROR(INDEX(Datos!$A$2:$K$102,Formulas!E51,Formulas!F51+2),"")))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21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IFERROR(INDEX(Datos!$A$2:$K$102,Formulas!I50,RIGHT(Formulas!K50)+2),"")))</f>
        <v>46002</v>
      </c>
      <c r="J53" s="121" t="e" cm="1">
        <f t="array" aca="1" ref="J53" ca="1">IF(OR(Formulas!K51=0,Formulas!K51=""),"",HYPERLINK("["&amp;Archivo_Nombre&amp;"]Datos!"&amp;LEFT(SUBSTITUTE(ADDRESS(1,Formulas!K51+2),"$",""))&amp;Formulas!J51+1,
IFERROR(INDEX(Datos!$A$2:$K$102,Formulas!J51,Formulas!K51+2),"")))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21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IFERROR(INDEX(Datos!$A$2:$K$102,Formulas!N50,RIGHT(Formulas!P50)+2),"")))</f>
        <v/>
      </c>
      <c r="O53" s="121" t="str" cm="1">
        <f t="array" aca="1" ref="O53" ca="1">IF(OR(Formulas!P51=0,Formulas!P51=""),"",HYPERLINK("["&amp;Archivo_Nombre&amp;"]Datos!"&amp;LEFT(SUBSTITUTE(ADDRESS(1,Formulas!P51+2),"$",""))&amp;Formulas!O51+1,
IFERROR(INDEX(Datos!$A$2:$K$102,Formulas!O51,Formulas!P51+2),"")))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21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IFERROR(INDEX(Datos!$A$2:$K$102,Formulas!S50,RIGHT(Formulas!U50)+2),"")))</f>
        <v>46036</v>
      </c>
      <c r="T53" s="121" t="e" cm="1">
        <f t="array" aca="1" ref="T53" ca="1">IF(OR(Formulas!U51=0,Formulas!U51=""),"",HYPERLINK("["&amp;Archivo_Nombre&amp;"]Datos!"&amp;LEFT(SUBSTITUTE(ADDRESS(1,Formulas!U51+2),"$",""))&amp;Formulas!T51+1,
IFERROR(INDEX(Datos!$A$2:$K$102,Formulas!T51,Formulas!U51+2),"")))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21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IFERROR(INDEX(Datos!$A$2:$K$102,Formulas!X50,RIGHT(Formulas!Z50)+2),"")))</f>
        <v/>
      </c>
      <c r="Y53" s="121" t="str" cm="1">
        <f t="array" aca="1" ref="Y53" ca="1">IF(OR(Formulas!Z51=0,Formulas!Z51=""),"",HYPERLINK("["&amp;Archivo_Nombre&amp;"]Datos!"&amp;LEFT(SUBSTITUTE(ADDRESS(1,Formulas!Z51+2),"$",""))&amp;Formulas!Y51+1,
IFERROR(INDEX(Datos!$A$2:$K$102,Formulas!Y51,Formulas!Z51+2),"")))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21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IFERROR(INDEX(Datos!$A$2:$K$102,Formulas!AC50,RIGHT(Formulas!AE50)+2),"")))</f>
        <v/>
      </c>
      <c r="AD53" s="121" t="str" cm="1">
        <f t="array" aca="1" ref="AD53" ca="1">IF(OR(Formulas!AE51=0,Formulas!AE51=""),"",HYPERLINK("["&amp;Archivo_Nombre&amp;"]Datos!"&amp;LEFT(SUBSTITUTE(ADDRESS(1,Formulas!AE51+2),"$",""))&amp;Formulas!AD51+1,
IFERROR(INDEX(Datos!$A$2:$K$102,Formulas!AD51,Formulas!AE51+2),"")))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21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IFERROR(INDEX(Datos!$A$2:$K$102,Formulas!AH50,RIGHT(Formulas!AJ50)+2),"")))</f>
        <v/>
      </c>
      <c r="AI53" s="121" t="str" cm="1">
        <f t="array" aca="1" ref="AI53" ca="1">IF(OR(Formulas!AJ51=0,Formulas!AJ51=""),"",HYPERLINK("["&amp;Archivo_Nombre&amp;"]Datos!"&amp;LEFT(SUBSTITUTE(ADDRESS(1,Formulas!AJ51+2),"$",""))&amp;Formulas!AI51+1,
IFERROR(INDEX(Datos!$A$2:$K$102,Formulas!AI51,Formulas!AJ51+2),"")))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21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IFERROR(INDEX(Datos!$A$2:$K$102,Formulas!AM50,RIGHT(Formulas!AO50)+2),"")))</f>
        <v/>
      </c>
      <c r="AN53" s="121" t="str" cm="1">
        <f t="array" aca="1" ref="AN53" ca="1">IF(OR(Formulas!AO51=0,Formulas!AO51=""),"",HYPERLINK("["&amp;Archivo_Nombre&amp;"]Datos!"&amp;LEFT(SUBSTITUTE(ADDRESS(1,Formulas!AO51+2),"$",""))&amp;Formulas!AN51+1,
IFERROR(INDEX(Datos!$A$2:$K$102,Formulas!AN51,Formulas!AO51+2),"")))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21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IFERROR(INDEX(Datos!$A$2:$K$102,Formulas!AR50,RIGHT(Formulas!AT50)+2),"")))</f>
        <v/>
      </c>
      <c r="AS53" s="121" t="str" cm="1">
        <f t="array" aca="1" ref="AS53" ca="1">IF(OR(Formulas!AT51=0,Formulas!AT51=""),"",HYPERLINK("["&amp;Archivo_Nombre&amp;"]Datos!"&amp;LEFT(SUBSTITUTE(ADDRESS(1,Formulas!AT51+2),"$",""))&amp;Formulas!AS51+1,
IFERROR(INDEX(Datos!$A$2:$K$102,Formulas!AS51,Formulas!AT51+2),"")))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21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IFERROR(INDEX(Datos!$A$2:$K$102,Formulas!AW50,RIGHT(Formulas!AY50)+2),"")))</f>
        <v/>
      </c>
      <c r="AX53" s="121" t="str" cm="1">
        <f t="array" aca="1" ref="AX53" ca="1">IF(OR(Formulas!AY51=0,Formulas!AY51=""),"",HYPERLINK("["&amp;Archivo_Nombre&amp;"]Datos!"&amp;LEFT(SUBSTITUTE(ADDRESS(1,Formulas!AY51+2),"$",""))&amp;Formulas!AX51+1,
IFERROR(INDEX(Datos!$A$2:$K$102,Formulas!AX51,Formulas!AY51+2),"")))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21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IFERROR(INDEX(Datos!$A$2:$K$102,Formulas!D51,RIGHT(Formulas!F51)+2),"")))</f>
        <v/>
      </c>
      <c r="E54" s="121" t="str" cm="1">
        <f t="array" aca="1" ref="E54" ca="1">IF(OR(Formulas!F52=0,Formulas!F52=""),"",HYPERLINK("["&amp;Archivo_Nombre&amp;"]Datos!"&amp;LEFT(SUBSTITUTE(ADDRESS(1,Formulas!F52+2),"$",""))&amp;Formulas!E52+1,
IFERROR(INDEX(Datos!$A$2:$K$102,Formulas!E52,Formulas!F52+2),"")))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21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IFERROR(INDEX(Datos!$A$2:$K$102,Formulas!I51,RIGHT(Formulas!K51)+2),"")))</f>
        <v>46043</v>
      </c>
      <c r="J54" s="121" t="e" cm="1">
        <f t="array" aca="1" ref="J54" ca="1">IF(OR(Formulas!K52=0,Formulas!K52=""),"",HYPERLINK("["&amp;Archivo_Nombre&amp;"]Datos!"&amp;LEFT(SUBSTITUTE(ADDRESS(1,Formulas!K52+2),"$",""))&amp;Formulas!J52+1,
IFERROR(INDEX(Datos!$A$2:$K$102,Formulas!J52,Formulas!K52+2),"")))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21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IFERROR(INDEX(Datos!$A$2:$K$102,Formulas!N51,RIGHT(Formulas!P51)+2),"")))</f>
        <v/>
      </c>
      <c r="O54" s="121" t="str" cm="1">
        <f t="array" aca="1" ref="O54" ca="1">IF(OR(Formulas!P52=0,Formulas!P52=""),"",HYPERLINK("["&amp;Archivo_Nombre&amp;"]Datos!"&amp;LEFT(SUBSTITUTE(ADDRESS(1,Formulas!P52+2),"$",""))&amp;Formulas!O52+1,
IFERROR(INDEX(Datos!$A$2:$K$102,Formulas!O52,Formulas!P52+2),"")))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21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IFERROR(INDEX(Datos!$A$2:$K$102,Formulas!S51,RIGHT(Formulas!U51)+2),"")))</f>
        <v>46038</v>
      </c>
      <c r="T54" s="121" t="e" cm="1">
        <f t="array" aca="1" ref="T54" ca="1">IF(OR(Formulas!U52=0,Formulas!U52=""),"",HYPERLINK("["&amp;Archivo_Nombre&amp;"]Datos!"&amp;LEFT(SUBSTITUTE(ADDRESS(1,Formulas!U52+2),"$",""))&amp;Formulas!T52+1,
IFERROR(INDEX(Datos!$A$2:$K$102,Formulas!T52,Formulas!U52+2),"")))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21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IFERROR(INDEX(Datos!$A$2:$K$102,Formulas!X51,RIGHT(Formulas!Z51)+2),"")))</f>
        <v/>
      </c>
      <c r="Y54" s="121" t="str" cm="1">
        <f t="array" aca="1" ref="Y54" ca="1">IF(OR(Formulas!Z52=0,Formulas!Z52=""),"",HYPERLINK("["&amp;Archivo_Nombre&amp;"]Datos!"&amp;LEFT(SUBSTITUTE(ADDRESS(1,Formulas!Z52+2),"$",""))&amp;Formulas!Y52+1,
IFERROR(INDEX(Datos!$A$2:$K$102,Formulas!Y52,Formulas!Z52+2),"")))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21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IFERROR(INDEX(Datos!$A$2:$K$102,Formulas!AC51,RIGHT(Formulas!AE51)+2),"")))</f>
        <v/>
      </c>
      <c r="AD54" s="121" t="str" cm="1">
        <f t="array" aca="1" ref="AD54" ca="1">IF(OR(Formulas!AE52=0,Formulas!AE52=""),"",HYPERLINK("["&amp;Archivo_Nombre&amp;"]Datos!"&amp;LEFT(SUBSTITUTE(ADDRESS(1,Formulas!AE52+2),"$",""))&amp;Formulas!AD52+1,
IFERROR(INDEX(Datos!$A$2:$K$102,Formulas!AD52,Formulas!AE52+2),"")))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21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IFERROR(INDEX(Datos!$A$2:$K$102,Formulas!AH51,RIGHT(Formulas!AJ51)+2),"")))</f>
        <v/>
      </c>
      <c r="AI54" s="121" t="str" cm="1">
        <f t="array" aca="1" ref="AI54" ca="1">IF(OR(Formulas!AJ52=0,Formulas!AJ52=""),"",HYPERLINK("["&amp;Archivo_Nombre&amp;"]Datos!"&amp;LEFT(SUBSTITUTE(ADDRESS(1,Formulas!AJ52+2),"$",""))&amp;Formulas!AI52+1,
IFERROR(INDEX(Datos!$A$2:$K$102,Formulas!AI52,Formulas!AJ52+2),"")))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21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IFERROR(INDEX(Datos!$A$2:$K$102,Formulas!AM51,RIGHT(Formulas!AO51)+2),"")))</f>
        <v/>
      </c>
      <c r="AN54" s="121" t="str" cm="1">
        <f t="array" aca="1" ref="AN54" ca="1">IF(OR(Formulas!AO52=0,Formulas!AO52=""),"",HYPERLINK("["&amp;Archivo_Nombre&amp;"]Datos!"&amp;LEFT(SUBSTITUTE(ADDRESS(1,Formulas!AO52+2),"$",""))&amp;Formulas!AN52+1,
IFERROR(INDEX(Datos!$A$2:$K$102,Formulas!AN52,Formulas!AO52+2),"")))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21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IFERROR(INDEX(Datos!$A$2:$K$102,Formulas!AR51,RIGHT(Formulas!AT51)+2),"")))</f>
        <v/>
      </c>
      <c r="AS54" s="121" t="str" cm="1">
        <f t="array" aca="1" ref="AS54" ca="1">IF(OR(Formulas!AT52=0,Formulas!AT52=""),"",HYPERLINK("["&amp;Archivo_Nombre&amp;"]Datos!"&amp;LEFT(SUBSTITUTE(ADDRESS(1,Formulas!AT52+2),"$",""))&amp;Formulas!AS52+1,
IFERROR(INDEX(Datos!$A$2:$K$102,Formulas!AS52,Formulas!AT52+2),"")))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21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IFERROR(INDEX(Datos!$A$2:$K$102,Formulas!AW51,RIGHT(Formulas!AY51)+2),"")))</f>
        <v/>
      </c>
      <c r="AX54" s="121" t="str" cm="1">
        <f t="array" aca="1" ref="AX54" ca="1">IF(OR(Formulas!AY52=0,Formulas!AY52=""),"",HYPERLINK("["&amp;Archivo_Nombre&amp;"]Datos!"&amp;LEFT(SUBSTITUTE(ADDRESS(1,Formulas!AY52+2),"$",""))&amp;Formulas!AX52+1,
IFERROR(INDEX(Datos!$A$2:$K$102,Formulas!AX52,Formulas!AY52+2),"")))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21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IFERROR(INDEX(Datos!$A$2:$K$102,Formulas!D52,RIGHT(Formulas!F52)+2),"")))</f>
        <v/>
      </c>
      <c r="E55" s="121" t="str" cm="1">
        <f t="array" aca="1" ref="E55" ca="1">IF(OR(Formulas!F53=0,Formulas!F53=""),"",HYPERLINK("["&amp;Archivo_Nombre&amp;"]Datos!"&amp;LEFT(SUBSTITUTE(ADDRESS(1,Formulas!F53+2),"$",""))&amp;Formulas!E53+1,
IFERROR(INDEX(Datos!$A$2:$K$102,Formulas!E53,Formulas!F53+2),"")))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21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IFERROR(INDEX(Datos!$A$2:$K$102,Formulas!I52,RIGHT(Formulas!K52)+2),"")))</f>
        <v>46003</v>
      </c>
      <c r="J55" s="121" t="e" cm="1">
        <f t="array" aca="1" ref="J55" ca="1">IF(OR(Formulas!K53=0,Formulas!K53=""),"",HYPERLINK("["&amp;Archivo_Nombre&amp;"]Datos!"&amp;LEFT(SUBSTITUTE(ADDRESS(1,Formulas!K53+2),"$",""))&amp;Formulas!J53+1,
IFERROR(INDEX(Datos!$A$2:$K$102,Formulas!J53,Formulas!K53+2),"")))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21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IFERROR(INDEX(Datos!$A$2:$K$102,Formulas!N52,RIGHT(Formulas!P52)+2),"")))</f>
        <v/>
      </c>
      <c r="O55" s="121" t="str" cm="1">
        <f t="array" aca="1" ref="O55" ca="1">IF(OR(Formulas!P53=0,Formulas!P53=""),"",HYPERLINK("["&amp;Archivo_Nombre&amp;"]Datos!"&amp;LEFT(SUBSTITUTE(ADDRESS(1,Formulas!P53+2),"$",""))&amp;Formulas!O53+1,
IFERROR(INDEX(Datos!$A$2:$K$102,Formulas!O53,Formulas!P53+2),"")))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21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IFERROR(INDEX(Datos!$A$2:$K$102,Formulas!S52,RIGHT(Formulas!U52)+2),"")))</f>
        <v>46038</v>
      </c>
      <c r="T55" s="121" t="e" cm="1">
        <f t="array" aca="1" ref="T55" ca="1">IF(OR(Formulas!U53=0,Formulas!U53=""),"",HYPERLINK("["&amp;Archivo_Nombre&amp;"]Datos!"&amp;LEFT(SUBSTITUTE(ADDRESS(1,Formulas!U53+2),"$",""))&amp;Formulas!T53+1,
IFERROR(INDEX(Datos!$A$2:$K$102,Formulas!T53,Formulas!U53+2),"")))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21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IFERROR(INDEX(Datos!$A$2:$K$102,Formulas!X52,RIGHT(Formulas!Z52)+2),"")))</f>
        <v/>
      </c>
      <c r="Y55" s="121" t="str" cm="1">
        <f t="array" aca="1" ref="Y55" ca="1">IF(OR(Formulas!Z53=0,Formulas!Z53=""),"",HYPERLINK("["&amp;Archivo_Nombre&amp;"]Datos!"&amp;LEFT(SUBSTITUTE(ADDRESS(1,Formulas!Z53+2),"$",""))&amp;Formulas!Y53+1,
IFERROR(INDEX(Datos!$A$2:$K$102,Formulas!Y53,Formulas!Z53+2),"")))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21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IFERROR(INDEX(Datos!$A$2:$K$102,Formulas!AC52,RIGHT(Formulas!AE52)+2),"")))</f>
        <v/>
      </c>
      <c r="AD55" s="121" t="str" cm="1">
        <f t="array" aca="1" ref="AD55" ca="1">IF(OR(Formulas!AE53=0,Formulas!AE53=""),"",HYPERLINK("["&amp;Archivo_Nombre&amp;"]Datos!"&amp;LEFT(SUBSTITUTE(ADDRESS(1,Formulas!AE53+2),"$",""))&amp;Formulas!AD53+1,
IFERROR(INDEX(Datos!$A$2:$K$102,Formulas!AD53,Formulas!AE53+2),"")))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21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IFERROR(INDEX(Datos!$A$2:$K$102,Formulas!AH52,RIGHT(Formulas!AJ52)+2),"")))</f>
        <v/>
      </c>
      <c r="AI55" s="121" t="str" cm="1">
        <f t="array" aca="1" ref="AI55" ca="1">IF(OR(Formulas!AJ53=0,Formulas!AJ53=""),"",HYPERLINK("["&amp;Archivo_Nombre&amp;"]Datos!"&amp;LEFT(SUBSTITUTE(ADDRESS(1,Formulas!AJ53+2),"$",""))&amp;Formulas!AI53+1,
IFERROR(INDEX(Datos!$A$2:$K$102,Formulas!AI53,Formulas!AJ53+2),"")))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21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IFERROR(INDEX(Datos!$A$2:$K$102,Formulas!AM52,RIGHT(Formulas!AO52)+2),"")))</f>
        <v/>
      </c>
      <c r="AN55" s="121" t="str" cm="1">
        <f t="array" aca="1" ref="AN55" ca="1">IF(OR(Formulas!AO53=0,Formulas!AO53=""),"",HYPERLINK("["&amp;Archivo_Nombre&amp;"]Datos!"&amp;LEFT(SUBSTITUTE(ADDRESS(1,Formulas!AO53+2),"$",""))&amp;Formulas!AN53+1,
IFERROR(INDEX(Datos!$A$2:$K$102,Formulas!AN53,Formulas!AO53+2),"")))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21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IFERROR(INDEX(Datos!$A$2:$K$102,Formulas!AR52,RIGHT(Formulas!AT52)+2),"")))</f>
        <v/>
      </c>
      <c r="AS55" s="121" t="str" cm="1">
        <f t="array" aca="1" ref="AS55" ca="1">IF(OR(Formulas!AT53=0,Formulas!AT53=""),"",HYPERLINK("["&amp;Archivo_Nombre&amp;"]Datos!"&amp;LEFT(SUBSTITUTE(ADDRESS(1,Formulas!AT53+2),"$",""))&amp;Formulas!AS53+1,
IFERROR(INDEX(Datos!$A$2:$K$102,Formulas!AS53,Formulas!AT53+2),"")))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21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IFERROR(INDEX(Datos!$A$2:$K$102,Formulas!AW52,RIGHT(Formulas!AY52)+2),"")))</f>
        <v/>
      </c>
      <c r="AX55" s="121" t="str" cm="1">
        <f t="array" aca="1" ref="AX55" ca="1">IF(OR(Formulas!AY53=0,Formulas!AY53=""),"",HYPERLINK("["&amp;Archivo_Nombre&amp;"]Datos!"&amp;LEFT(SUBSTITUTE(ADDRESS(1,Formulas!AY53+2),"$",""))&amp;Formulas!AX53+1,
IFERROR(INDEX(Datos!$A$2:$K$102,Formulas!AX53,Formulas!AY53+2),"")))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21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IFERROR(INDEX(Datos!$A$2:$K$102,Formulas!D53,RIGHT(Formulas!F53)+2),"")))</f>
        <v/>
      </c>
      <c r="E56" s="121" t="str" cm="1">
        <f t="array" aca="1" ref="E56" ca="1">IF(OR(Formulas!F54=0,Formulas!F54=""),"",HYPERLINK("["&amp;Archivo_Nombre&amp;"]Datos!"&amp;LEFT(SUBSTITUTE(ADDRESS(1,Formulas!F54+2),"$",""))&amp;Formulas!E54+1,
IFERROR(INDEX(Datos!$A$2:$K$102,Formulas!E54,Formulas!F54+2),"")))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21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IFERROR(INDEX(Datos!$A$2:$K$102,Formulas!I53,RIGHT(Formulas!K53)+2),"")))</f>
        <v>2 días</v>
      </c>
      <c r="J56" s="121" t="e" cm="1">
        <f t="array" aca="1" ref="J56" ca="1">IF(OR(Formulas!K54=0,Formulas!K54=""),"",HYPERLINK("["&amp;Archivo_Nombre&amp;"]Datos!"&amp;LEFT(SUBSTITUTE(ADDRESS(1,Formulas!K54+2),"$",""))&amp;Formulas!J54+1,
IFERROR(INDEX(Datos!$A$2:$K$102,Formulas!J54,Formulas!K54+2),"")))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21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IFERROR(INDEX(Datos!$A$2:$K$102,Formulas!N53,RIGHT(Formulas!P53)+2),"")))</f>
        <v/>
      </c>
      <c r="O56" s="121" t="str" cm="1">
        <f t="array" aca="1" ref="O56" ca="1">IF(OR(Formulas!P54=0,Formulas!P54=""),"",HYPERLINK("["&amp;Archivo_Nombre&amp;"]Datos!"&amp;LEFT(SUBSTITUTE(ADDRESS(1,Formulas!P54+2),"$",""))&amp;Formulas!O54+1,
IFERROR(INDEX(Datos!$A$2:$K$102,Formulas!O54,Formulas!P54+2),"")))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21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IFERROR(INDEX(Datos!$A$2:$K$102,Formulas!S53,RIGHT(Formulas!U53)+2),"")))</f>
        <v>3 días</v>
      </c>
      <c r="T56" s="121" t="e" cm="1">
        <f t="array" aca="1" ref="T56" ca="1">IF(OR(Formulas!U54=0,Formulas!U54=""),"",HYPERLINK("["&amp;Archivo_Nombre&amp;"]Datos!"&amp;LEFT(SUBSTITUTE(ADDRESS(1,Formulas!U54+2),"$",""))&amp;Formulas!T54+1,
IFERROR(INDEX(Datos!$A$2:$K$102,Formulas!T54,Formulas!U54+2),"")))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21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IFERROR(INDEX(Datos!$A$2:$K$102,Formulas!X53,RIGHT(Formulas!Z53)+2),"")))</f>
        <v/>
      </c>
      <c r="Y56" s="121" t="str" cm="1">
        <f t="array" aca="1" ref="Y56" ca="1">IF(OR(Formulas!Z54=0,Formulas!Z54=""),"",HYPERLINK("["&amp;Archivo_Nombre&amp;"]Datos!"&amp;LEFT(SUBSTITUTE(ADDRESS(1,Formulas!Z54+2),"$",""))&amp;Formulas!Y54+1,
IFERROR(INDEX(Datos!$A$2:$K$102,Formulas!Y54,Formulas!Z54+2),"")))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21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IFERROR(INDEX(Datos!$A$2:$K$102,Formulas!AC53,RIGHT(Formulas!AE53)+2),"")))</f>
        <v/>
      </c>
      <c r="AD56" s="121" t="str" cm="1">
        <f t="array" aca="1" ref="AD56" ca="1">IF(OR(Formulas!AE54=0,Formulas!AE54=""),"",HYPERLINK("["&amp;Archivo_Nombre&amp;"]Datos!"&amp;LEFT(SUBSTITUTE(ADDRESS(1,Formulas!AE54+2),"$",""))&amp;Formulas!AD54+1,
IFERROR(INDEX(Datos!$A$2:$K$102,Formulas!AD54,Formulas!AE54+2),"")))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21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IFERROR(INDEX(Datos!$A$2:$K$102,Formulas!AH53,RIGHT(Formulas!AJ53)+2),"")))</f>
        <v/>
      </c>
      <c r="AI56" s="121" t="str" cm="1">
        <f t="array" aca="1" ref="AI56" ca="1">IF(OR(Formulas!AJ54=0,Formulas!AJ54=""),"",HYPERLINK("["&amp;Archivo_Nombre&amp;"]Datos!"&amp;LEFT(SUBSTITUTE(ADDRESS(1,Formulas!AJ54+2),"$",""))&amp;Formulas!AI54+1,
IFERROR(INDEX(Datos!$A$2:$K$102,Formulas!AI54,Formulas!AJ54+2),"")))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21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IFERROR(INDEX(Datos!$A$2:$K$102,Formulas!AM53,RIGHT(Formulas!AO53)+2),"")))</f>
        <v/>
      </c>
      <c r="AN56" s="121" t="str" cm="1">
        <f t="array" aca="1" ref="AN56" ca="1">IF(OR(Formulas!AO54=0,Formulas!AO54=""),"",HYPERLINK("["&amp;Archivo_Nombre&amp;"]Datos!"&amp;LEFT(SUBSTITUTE(ADDRESS(1,Formulas!AO54+2),"$",""))&amp;Formulas!AN54+1,
IFERROR(INDEX(Datos!$A$2:$K$102,Formulas!AN54,Formulas!AO54+2),"")))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21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IFERROR(INDEX(Datos!$A$2:$K$102,Formulas!AR53,RIGHT(Formulas!AT53)+2),"")))</f>
        <v/>
      </c>
      <c r="AS56" s="121" t="str" cm="1">
        <f t="array" aca="1" ref="AS56" ca="1">IF(OR(Formulas!AT54=0,Formulas!AT54=""),"",HYPERLINK("["&amp;Archivo_Nombre&amp;"]Datos!"&amp;LEFT(SUBSTITUTE(ADDRESS(1,Formulas!AT54+2),"$",""))&amp;Formulas!AS54+1,
IFERROR(INDEX(Datos!$A$2:$K$102,Formulas!AS54,Formulas!AT54+2),"")))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21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IFERROR(INDEX(Datos!$A$2:$K$102,Formulas!AW53,RIGHT(Formulas!AY53)+2),"")))</f>
        <v/>
      </c>
      <c r="AX56" s="121" t="str" cm="1">
        <f t="array" aca="1" ref="AX56" ca="1">IF(OR(Formulas!AY54=0,Formulas!AY54=""),"",HYPERLINK("["&amp;Archivo_Nombre&amp;"]Datos!"&amp;LEFT(SUBSTITUTE(ADDRESS(1,Formulas!AY54+2),"$",""))&amp;Formulas!AX54+1,
IFERROR(INDEX(Datos!$A$2:$K$102,Formulas!AX54,Formulas!AY54+2),"")))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21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IFERROR(INDEX(Datos!$A$2:$K$102,Formulas!D54,RIGHT(Formulas!F54)+2),"")))</f>
        <v/>
      </c>
      <c r="E57" s="121" t="str" cm="1">
        <f t="array" aca="1" ref="E57" ca="1">IF(OR(Formulas!F55=0,Formulas!F55=""),"",HYPERLINK("["&amp;Archivo_Nombre&amp;"]Datos!"&amp;LEFT(SUBSTITUTE(ADDRESS(1,Formulas!F55+2),"$",""))&amp;Formulas!E55+1,
IFERROR(INDEX(Datos!$A$2:$K$102,Formulas!E55,Formulas!F55+2),"")))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21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IFERROR(INDEX(Datos!$A$2:$K$102,Formulas!I54,RIGHT(Formulas!K54)+2),"")))</f>
        <v>0 días</v>
      </c>
      <c r="J57" s="121" t="e" cm="1">
        <f t="array" aca="1" ref="J57" ca="1">IF(OR(Formulas!K55=0,Formulas!K55=""),"",HYPERLINK("["&amp;Archivo_Nombre&amp;"]Datos!"&amp;LEFT(SUBSTITUTE(ADDRESS(1,Formulas!K55+2),"$",""))&amp;Formulas!J55+1,
IFERROR(INDEX(Datos!$A$2:$K$102,Formulas!J55,Formulas!K55+2),"")))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21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IFERROR(INDEX(Datos!$A$2:$K$102,Formulas!N54,RIGHT(Formulas!P54)+2),"")))</f>
        <v/>
      </c>
      <c r="O57" s="121" t="str" cm="1">
        <f t="array" aca="1" ref="O57" ca="1">IF(OR(Formulas!P55=0,Formulas!P55=""),"",HYPERLINK("["&amp;Archivo_Nombre&amp;"]Datos!"&amp;LEFT(SUBSTITUTE(ADDRESS(1,Formulas!P55+2),"$",""))&amp;Formulas!O55+1,
IFERROR(INDEX(Datos!$A$2:$K$102,Formulas!O55,Formulas!P55+2),"")))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21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IFERROR(INDEX(Datos!$A$2:$K$102,Formulas!S54,RIGHT(Formulas!U54)+2),"")))</f>
        <v>0 días</v>
      </c>
      <c r="T57" s="121" t="e" cm="1">
        <f t="array" aca="1" ref="T57" ca="1">IF(OR(Formulas!U55=0,Formulas!U55=""),"",HYPERLINK("["&amp;Archivo_Nombre&amp;"]Datos!"&amp;LEFT(SUBSTITUTE(ADDRESS(1,Formulas!U55+2),"$",""))&amp;Formulas!T55+1,
IFERROR(INDEX(Datos!$A$2:$K$102,Formulas!T55,Formulas!U55+2),"")))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21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IFERROR(INDEX(Datos!$A$2:$K$102,Formulas!X54,RIGHT(Formulas!Z54)+2),"")))</f>
        <v/>
      </c>
      <c r="Y57" s="121" t="str" cm="1">
        <f t="array" aca="1" ref="Y57" ca="1">IF(OR(Formulas!Z55=0,Formulas!Z55=""),"",HYPERLINK("["&amp;Archivo_Nombre&amp;"]Datos!"&amp;LEFT(SUBSTITUTE(ADDRESS(1,Formulas!Z55+2),"$",""))&amp;Formulas!Y55+1,
IFERROR(INDEX(Datos!$A$2:$K$102,Formulas!Y55,Formulas!Z55+2),"")))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21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IFERROR(INDEX(Datos!$A$2:$K$102,Formulas!AC54,RIGHT(Formulas!AE54)+2),"")))</f>
        <v/>
      </c>
      <c r="AD57" s="121" t="str" cm="1">
        <f t="array" aca="1" ref="AD57" ca="1">IF(OR(Formulas!AE55=0,Formulas!AE55=""),"",HYPERLINK("["&amp;Archivo_Nombre&amp;"]Datos!"&amp;LEFT(SUBSTITUTE(ADDRESS(1,Formulas!AE55+2),"$",""))&amp;Formulas!AD55+1,
IFERROR(INDEX(Datos!$A$2:$K$102,Formulas!AD55,Formulas!AE55+2),"")))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21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IFERROR(INDEX(Datos!$A$2:$K$102,Formulas!AH54,RIGHT(Formulas!AJ54)+2),"")))</f>
        <v/>
      </c>
      <c r="AI57" s="121" t="str" cm="1">
        <f t="array" aca="1" ref="AI57" ca="1">IF(OR(Formulas!AJ55=0,Formulas!AJ55=""),"",HYPERLINK("["&amp;Archivo_Nombre&amp;"]Datos!"&amp;LEFT(SUBSTITUTE(ADDRESS(1,Formulas!AJ55+2),"$",""))&amp;Formulas!AI55+1,
IFERROR(INDEX(Datos!$A$2:$K$102,Formulas!AI55,Formulas!AJ55+2),"")))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21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IFERROR(INDEX(Datos!$A$2:$K$102,Formulas!AM54,RIGHT(Formulas!AO54)+2),"")))</f>
        <v/>
      </c>
      <c r="AN57" s="121" t="str" cm="1">
        <f t="array" aca="1" ref="AN57" ca="1">IF(OR(Formulas!AO55=0,Formulas!AO55=""),"",HYPERLINK("["&amp;Archivo_Nombre&amp;"]Datos!"&amp;LEFT(SUBSTITUTE(ADDRESS(1,Formulas!AO55+2),"$",""))&amp;Formulas!AN55+1,
IFERROR(INDEX(Datos!$A$2:$K$102,Formulas!AN55,Formulas!AO55+2),"")))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21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IFERROR(INDEX(Datos!$A$2:$K$102,Formulas!AR54,RIGHT(Formulas!AT54)+2),"")))</f>
        <v/>
      </c>
      <c r="AS57" s="121" t="str" cm="1">
        <f t="array" aca="1" ref="AS57" ca="1">IF(OR(Formulas!AT55=0,Formulas!AT55=""),"",HYPERLINK("["&amp;Archivo_Nombre&amp;"]Datos!"&amp;LEFT(SUBSTITUTE(ADDRESS(1,Formulas!AT55+2),"$",""))&amp;Formulas!AS55+1,
IFERROR(INDEX(Datos!$A$2:$K$102,Formulas!AS55,Formulas!AT55+2),"")))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21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IFERROR(INDEX(Datos!$A$2:$K$102,Formulas!AW54,RIGHT(Formulas!AY54)+2),"")))</f>
        <v/>
      </c>
      <c r="AX57" s="121" t="str" cm="1">
        <f t="array" aca="1" ref="AX57" ca="1">IF(OR(Formulas!AY55=0,Formulas!AY55=""),"",HYPERLINK("["&amp;Archivo_Nombre&amp;"]Datos!"&amp;LEFT(SUBSTITUTE(ADDRESS(1,Formulas!AY55+2),"$",""))&amp;Formulas!AX55+1,
IFERROR(INDEX(Datos!$A$2:$K$102,Formulas!AX55,Formulas!AY55+2),"")))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21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IFERROR(INDEX(Datos!$A$2:$K$102,Formulas!D55,RIGHT(Formulas!F55)+2),"")))</f>
        <v/>
      </c>
      <c r="E58" s="121" t="str" cm="1">
        <f t="array" aca="1" ref="E58" ca="1">IF(OR(Formulas!F56=0,Formulas!F56=""),"",HYPERLINK("["&amp;Archivo_Nombre&amp;"]Datos!"&amp;LEFT(SUBSTITUTE(ADDRESS(1,Formulas!F56+2),"$",""))&amp;Formulas!E56+1,
IFERROR(INDEX(Datos!$A$2:$K$102,Formulas!E56,Formulas!F56+2),"")))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21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IFERROR(INDEX(Datos!$A$2:$K$102,Formulas!I55,RIGHT(Formulas!K55)+2),"")))</f>
        <v>Madellyn Tasipanta</v>
      </c>
      <c r="J58" s="121" t="str" cm="1">
        <f t="array" aca="1" ref="J58" ca="1">IF(OR(Formulas!K56=0,Formulas!K56=""),"",HYPERLINK("["&amp;Archivo_Nombre&amp;"]Datos!"&amp;LEFT(SUBSTITUTE(ADDRESS(1,Formulas!K56+2),"$",""))&amp;Formulas!J56+1,
IFERROR(INDEX(Datos!$A$2:$K$102,Formulas!J56,Formulas!K56+2),"")))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21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IFERROR(INDEX(Datos!$A$2:$K$102,Formulas!N55,RIGHT(Formulas!P55)+2),"")))</f>
        <v/>
      </c>
      <c r="O58" s="121" t="str" cm="1">
        <f t="array" aca="1" ref="O58" ca="1">IF(OR(Formulas!P56=0,Formulas!P56=""),"",HYPERLINK("["&amp;Archivo_Nombre&amp;"]Datos!"&amp;LEFT(SUBSTITUTE(ADDRESS(1,Formulas!P56+2),"$",""))&amp;Formulas!O56+1,
IFERROR(INDEX(Datos!$A$2:$K$102,Formulas!O56,Formulas!P56+2),"")))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21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IFERROR(INDEX(Datos!$A$2:$K$102,Formulas!S55,RIGHT(Formulas!U55)+2),"")))</f>
        <v>Ing. Jenny Ruiz</v>
      </c>
      <c r="T58" s="121" t="str" cm="1">
        <f t="array" aca="1" ref="T58" ca="1">IF(OR(Formulas!U56=0,Formulas!U56=""),"",HYPERLINK("["&amp;Archivo_Nombre&amp;"]Datos!"&amp;LEFT(SUBSTITUTE(ADDRESS(1,Formulas!U56+2),"$",""))&amp;Formulas!T56+1,
IFERROR(INDEX(Datos!$A$2:$K$102,Formulas!T56,Formulas!U56+2),"")))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21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IFERROR(INDEX(Datos!$A$2:$K$102,Formulas!X55,RIGHT(Formulas!Z55)+2),"")))</f>
        <v/>
      </c>
      <c r="Y58" s="121" t="str" cm="1">
        <f t="array" aca="1" ref="Y58" ca="1">IF(OR(Formulas!Z56=0,Formulas!Z56=""),"",HYPERLINK("["&amp;Archivo_Nombre&amp;"]Datos!"&amp;LEFT(SUBSTITUTE(ADDRESS(1,Formulas!Z56+2),"$",""))&amp;Formulas!Y56+1,
IFERROR(INDEX(Datos!$A$2:$K$102,Formulas!Y56,Formulas!Z56+2),"")))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21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IFERROR(INDEX(Datos!$A$2:$K$102,Formulas!AC55,RIGHT(Formulas!AE55)+2),"")))</f>
        <v/>
      </c>
      <c r="AD58" s="121" t="str" cm="1">
        <f t="array" aca="1" ref="AD58" ca="1">IF(OR(Formulas!AE56=0,Formulas!AE56=""),"",HYPERLINK("["&amp;Archivo_Nombre&amp;"]Datos!"&amp;LEFT(SUBSTITUTE(ADDRESS(1,Formulas!AE56+2),"$",""))&amp;Formulas!AD56+1,
IFERROR(INDEX(Datos!$A$2:$K$102,Formulas!AD56,Formulas!AE56+2),"")))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21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IFERROR(INDEX(Datos!$A$2:$K$102,Formulas!AH55,RIGHT(Formulas!AJ55)+2),"")))</f>
        <v/>
      </c>
      <c r="AI58" s="121" t="str" cm="1">
        <f t="array" aca="1" ref="AI58" ca="1">IF(OR(Formulas!AJ56=0,Formulas!AJ56=""),"",HYPERLINK("["&amp;Archivo_Nombre&amp;"]Datos!"&amp;LEFT(SUBSTITUTE(ADDRESS(1,Formulas!AJ56+2),"$",""))&amp;Formulas!AI56+1,
IFERROR(INDEX(Datos!$A$2:$K$102,Formulas!AI56,Formulas!AJ56+2),"")))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21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IFERROR(INDEX(Datos!$A$2:$K$102,Formulas!AM55,RIGHT(Formulas!AO55)+2),"")))</f>
        <v/>
      </c>
      <c r="AN58" s="121" t="str" cm="1">
        <f t="array" aca="1" ref="AN58" ca="1">IF(OR(Formulas!AO56=0,Formulas!AO56=""),"",HYPERLINK("["&amp;Archivo_Nombre&amp;"]Datos!"&amp;LEFT(SUBSTITUTE(ADDRESS(1,Formulas!AO56+2),"$",""))&amp;Formulas!AN56+1,
IFERROR(INDEX(Datos!$A$2:$K$102,Formulas!AN56,Formulas!AO56+2),"")))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21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IFERROR(INDEX(Datos!$A$2:$K$102,Formulas!AR55,RIGHT(Formulas!AT55)+2),"")))</f>
        <v/>
      </c>
      <c r="AS58" s="121" t="str" cm="1">
        <f t="array" aca="1" ref="AS58" ca="1">IF(OR(Formulas!AT56=0,Formulas!AT56=""),"",HYPERLINK("["&amp;Archivo_Nombre&amp;"]Datos!"&amp;LEFT(SUBSTITUTE(ADDRESS(1,Formulas!AT56+2),"$",""))&amp;Formulas!AS56+1,
IFERROR(INDEX(Datos!$A$2:$K$102,Formulas!AS56,Formulas!AT56+2),"")))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21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IFERROR(INDEX(Datos!$A$2:$K$102,Formulas!AW55,RIGHT(Formulas!AY55)+2),"")))</f>
        <v/>
      </c>
      <c r="AX58" s="121" t="str" cm="1">
        <f t="array" aca="1" ref="AX58" ca="1">IF(OR(Formulas!AY56=0,Formulas!AY56=""),"",HYPERLINK("["&amp;Archivo_Nombre&amp;"]Datos!"&amp;LEFT(SUBSTITUTE(ADDRESS(1,Formulas!AY56+2),"$",""))&amp;Formulas!AX56+1,
IFERROR(INDEX(Datos!$A$2:$K$102,Formulas!AX56,Formulas!AY56+2),"")))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21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IFERROR(INDEX(Datos!$A$2:$K$102,Formulas!D56,RIGHT(Formulas!F56)+2),"")))</f>
        <v/>
      </c>
      <c r="E59" s="121" t="str" cm="1">
        <f t="array" aca="1" ref="E59" ca="1">IF(OR(Formulas!F57=0,Formulas!F57=""),"",HYPERLINK("["&amp;Archivo_Nombre&amp;"]Datos!"&amp;LEFT(SUBSTITUTE(ADDRESS(1,Formulas!F57+2),"$",""))&amp;Formulas!E57+1,
IFERROR(INDEX(Datos!$A$2:$K$102,Formulas!E57,Formulas!F57+2),"")))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21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IFERROR(INDEX(Datos!$A$2:$K$102,Formulas!I56,RIGHT(Formulas!K56)+2),"")))</f>
        <v/>
      </c>
      <c r="J59" s="121" t="e" cm="1">
        <f t="array" aca="1" ref="J59" ca="1">IF(OR(Formulas!K57=0,Formulas!K57=""),"",HYPERLINK("["&amp;Archivo_Nombre&amp;"]Datos!"&amp;LEFT(SUBSTITUTE(ADDRESS(1,Formulas!K57+2),"$",""))&amp;Formulas!J57+1,
IFERROR(INDEX(Datos!$A$2:$K$102,Formulas!J57,Formulas!K57+2),"")))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21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IFERROR(INDEX(Datos!$A$2:$K$102,Formulas!N56,RIGHT(Formulas!P56)+2),"")))</f>
        <v/>
      </c>
      <c r="O59" s="121" t="str" cm="1">
        <f t="array" aca="1" ref="O59" ca="1">IF(OR(Formulas!P57=0,Formulas!P57=""),"",HYPERLINK("["&amp;Archivo_Nombre&amp;"]Datos!"&amp;LEFT(SUBSTITUTE(ADDRESS(1,Formulas!P57+2),"$",""))&amp;Formulas!O57+1,
IFERROR(INDEX(Datos!$A$2:$K$102,Formulas!O57,Formulas!P57+2),"")))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21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IFERROR(INDEX(Datos!$A$2:$K$102,Formulas!S56,RIGHT(Formulas!U56)+2),"")))</f>
        <v/>
      </c>
      <c r="T59" s="121" t="e" cm="1">
        <f t="array" aca="1" ref="T59" ca="1">IF(OR(Formulas!U57=0,Formulas!U57=""),"",HYPERLINK("["&amp;Archivo_Nombre&amp;"]Datos!"&amp;LEFT(SUBSTITUTE(ADDRESS(1,Formulas!U57+2),"$",""))&amp;Formulas!T57+1,
IFERROR(INDEX(Datos!$A$2:$K$102,Formulas!T57,Formulas!U57+2),"")))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21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IFERROR(INDEX(Datos!$A$2:$K$102,Formulas!X56,RIGHT(Formulas!Z56)+2),"")))</f>
        <v/>
      </c>
      <c r="Y59" s="121" t="str" cm="1">
        <f t="array" aca="1" ref="Y59" ca="1">IF(OR(Formulas!Z57=0,Formulas!Z57=""),"",HYPERLINK("["&amp;Archivo_Nombre&amp;"]Datos!"&amp;LEFT(SUBSTITUTE(ADDRESS(1,Formulas!Z57+2),"$",""))&amp;Formulas!Y57+1,
IFERROR(INDEX(Datos!$A$2:$K$102,Formulas!Y57,Formulas!Z57+2),"")))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21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IFERROR(INDEX(Datos!$A$2:$K$102,Formulas!AC56,RIGHT(Formulas!AE56)+2),"")))</f>
        <v/>
      </c>
      <c r="AD59" s="121" t="str" cm="1">
        <f t="array" aca="1" ref="AD59" ca="1">IF(OR(Formulas!AE57=0,Formulas!AE57=""),"",HYPERLINK("["&amp;Archivo_Nombre&amp;"]Datos!"&amp;LEFT(SUBSTITUTE(ADDRESS(1,Formulas!AE57+2),"$",""))&amp;Formulas!AD57+1,
IFERROR(INDEX(Datos!$A$2:$K$102,Formulas!AD57,Formulas!AE57+2),"")))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21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IFERROR(INDEX(Datos!$A$2:$K$102,Formulas!AH56,RIGHT(Formulas!AJ56)+2),"")))</f>
        <v/>
      </c>
      <c r="AI59" s="121" t="str" cm="1">
        <f t="array" aca="1" ref="AI59" ca="1">IF(OR(Formulas!AJ57=0,Formulas!AJ57=""),"",HYPERLINK("["&amp;Archivo_Nombre&amp;"]Datos!"&amp;LEFT(SUBSTITUTE(ADDRESS(1,Formulas!AJ57+2),"$",""))&amp;Formulas!AI57+1,
IFERROR(INDEX(Datos!$A$2:$K$102,Formulas!AI57,Formulas!AJ57+2),"")))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21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IFERROR(INDEX(Datos!$A$2:$K$102,Formulas!AM56,RIGHT(Formulas!AO56)+2),"")))</f>
        <v/>
      </c>
      <c r="AN59" s="121" t="str" cm="1">
        <f t="array" aca="1" ref="AN59" ca="1">IF(OR(Formulas!AO57=0,Formulas!AO57=""),"",HYPERLINK("["&amp;Archivo_Nombre&amp;"]Datos!"&amp;LEFT(SUBSTITUTE(ADDRESS(1,Formulas!AO57+2),"$",""))&amp;Formulas!AN57+1,
IFERROR(INDEX(Datos!$A$2:$K$102,Formulas!AN57,Formulas!AO57+2),"")))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21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IFERROR(INDEX(Datos!$A$2:$K$102,Formulas!AR56,RIGHT(Formulas!AT56)+2),"")))</f>
        <v/>
      </c>
      <c r="AS59" s="121" t="str" cm="1">
        <f t="array" aca="1" ref="AS59" ca="1">IF(OR(Formulas!AT57=0,Formulas!AT57=""),"",HYPERLINK("["&amp;Archivo_Nombre&amp;"]Datos!"&amp;LEFT(SUBSTITUTE(ADDRESS(1,Formulas!AT57+2),"$",""))&amp;Formulas!AS57+1,
IFERROR(INDEX(Datos!$A$2:$K$102,Formulas!AS57,Formulas!AT57+2),"")))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21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IFERROR(INDEX(Datos!$A$2:$K$102,Formulas!AW56,RIGHT(Formulas!AY56)+2),"")))</f>
        <v/>
      </c>
      <c r="AX59" s="121" t="str" cm="1">
        <f t="array" aca="1" ref="AX59" ca="1">IF(OR(Formulas!AY57=0,Formulas!AY57=""),"",HYPERLINK("["&amp;Archivo_Nombre&amp;"]Datos!"&amp;LEFT(SUBSTITUTE(ADDRESS(1,Formulas!AY57+2),"$",""))&amp;Formulas!AX57+1,
IFERROR(INDEX(Datos!$A$2:$K$102,Formulas!AX57,Formulas!AY57+2),"")))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21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IFERROR(INDEX(Datos!$A$2:$K$102,Formulas!D57,RIGHT(Formulas!F57)+2),"")))</f>
        <v/>
      </c>
      <c r="E60" s="121" t="str" cm="1">
        <f t="array" aca="1" ref="E60" ca="1">IF(OR(Formulas!F58=0,Formulas!F58=""),"",HYPERLINK("["&amp;Archivo_Nombre&amp;"]Datos!"&amp;LEFT(SUBSTITUTE(ADDRESS(1,Formulas!F58+2),"$",""))&amp;Formulas!E58+1,
IFERROR(INDEX(Datos!$A$2:$K$102,Formulas!E58,Formulas!F58+2),"")))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63:</v>
      </c>
      <c r="I60" s="121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IFERROR(INDEX(Datos!$A$2:$K$102,Formulas!I57,RIGHT(Formulas!K57)+2),"")))</f>
        <v>REQ007-2 Comprobar que el contrato no exista previamente.</v>
      </c>
      <c r="J60" s="121" t="e" cm="1">
        <f t="array" aca="1" ref="J60" ca="1">IF(OR(Formulas!K58=0,Formulas!K58=""),"",HYPERLINK("["&amp;Archivo_Nombre&amp;"]Datos!"&amp;LEFT(SUBSTITUTE(ADDRESS(1,Formulas!K58+2),"$",""))&amp;Formulas!J58+1,
IFERROR(INDEX(Datos!$A$2:$K$102,Formulas!J58,Formulas!K58+2),"")))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21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IFERROR(INDEX(Datos!$A$2:$K$102,Formulas!N57,RIGHT(Formulas!P57)+2),"")))</f>
        <v/>
      </c>
      <c r="O60" s="121" t="str" cm="1">
        <f t="array" aca="1" ref="O60" ca="1">IF(OR(Formulas!P58=0,Formulas!P58=""),"",HYPERLINK("["&amp;Archivo_Nombre&amp;"]Datos!"&amp;LEFT(SUBSTITUTE(ADDRESS(1,Formulas!P58+2),"$",""))&amp;Formulas!O58+1,
IFERROR(INDEX(Datos!$A$2:$K$102,Formulas!O58,Formulas!P58+2),"")))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52:</v>
      </c>
      <c r="S60" s="121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IFERROR(INDEX(Datos!$A$2:$K$102,Formulas!S57,RIGHT(Formulas!U57)+2),"")))</f>
        <v>Revisión de presentación de proyectos con funcionalidad SPRINT1,2,3...</v>
      </c>
      <c r="T60" s="121" t="e" cm="1">
        <f t="array" aca="1" ref="T60" ca="1">IF(OR(Formulas!U58=0,Formulas!U58=""),"",HYPERLINK("["&amp;Archivo_Nombre&amp;"]Datos!"&amp;LEFT(SUBSTITUTE(ADDRESS(1,Formulas!U58+2),"$",""))&amp;Formulas!T58+1,
IFERROR(INDEX(Datos!$A$2:$K$102,Formulas!T58,Formulas!U58+2),"")))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21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IFERROR(INDEX(Datos!$A$2:$K$102,Formulas!X57,RIGHT(Formulas!Z57)+2),"")))</f>
        <v/>
      </c>
      <c r="Y60" s="121" t="str" cm="1">
        <f t="array" aca="1" ref="Y60" ca="1">IF(OR(Formulas!Z58=0,Formulas!Z58=""),"",HYPERLINK("["&amp;Archivo_Nombre&amp;"]Datos!"&amp;LEFT(SUBSTITUTE(ADDRESS(1,Formulas!Z58+2),"$",""))&amp;Formulas!Y58+1,
IFERROR(INDEX(Datos!$A$2:$K$102,Formulas!Y58,Formulas!Z58+2),"")))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21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IFERROR(INDEX(Datos!$A$2:$K$102,Formulas!AC57,RIGHT(Formulas!AE57)+2),"")))</f>
        <v/>
      </c>
      <c r="AD60" s="121" t="str" cm="1">
        <f t="array" aca="1" ref="AD60" ca="1">IF(OR(Formulas!AE58=0,Formulas!AE58=""),"",HYPERLINK("["&amp;Archivo_Nombre&amp;"]Datos!"&amp;LEFT(SUBSTITUTE(ADDRESS(1,Formulas!AE58+2),"$",""))&amp;Formulas!AD58+1,
IFERROR(INDEX(Datos!$A$2:$K$102,Formulas!AD58,Formulas!AE58+2),"")))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21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IFERROR(INDEX(Datos!$A$2:$K$102,Formulas!AH57,RIGHT(Formulas!AJ57)+2),"")))</f>
        <v/>
      </c>
      <c r="AI60" s="121" t="str" cm="1">
        <f t="array" aca="1" ref="AI60" ca="1">IF(OR(Formulas!AJ58=0,Formulas!AJ58=""),"",HYPERLINK("["&amp;Archivo_Nombre&amp;"]Datos!"&amp;LEFT(SUBSTITUTE(ADDRESS(1,Formulas!AJ58+2),"$",""))&amp;Formulas!AI58+1,
IFERROR(INDEX(Datos!$A$2:$K$102,Formulas!AI58,Formulas!AJ58+2),"")))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21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IFERROR(INDEX(Datos!$A$2:$K$102,Formulas!AM57,RIGHT(Formulas!AO57)+2),"")))</f>
        <v/>
      </c>
      <c r="AN60" s="121" t="str" cm="1">
        <f t="array" aca="1" ref="AN60" ca="1">IF(OR(Formulas!AO58=0,Formulas!AO58=""),"",HYPERLINK("["&amp;Archivo_Nombre&amp;"]Datos!"&amp;LEFT(SUBSTITUTE(ADDRESS(1,Formulas!AO58+2),"$",""))&amp;Formulas!AN58+1,
IFERROR(INDEX(Datos!$A$2:$K$102,Formulas!AN58,Formulas!AO58+2),"")))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21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IFERROR(INDEX(Datos!$A$2:$K$102,Formulas!AR57,RIGHT(Formulas!AT57)+2),"")))</f>
        <v/>
      </c>
      <c r="AS60" s="121" t="str" cm="1">
        <f t="array" aca="1" ref="AS60" ca="1">IF(OR(Formulas!AT58=0,Formulas!AT58=""),"",HYPERLINK("["&amp;Archivo_Nombre&amp;"]Datos!"&amp;LEFT(SUBSTITUTE(ADDRESS(1,Formulas!AT58+2),"$",""))&amp;Formulas!AS58+1,
IFERROR(INDEX(Datos!$A$2:$K$102,Formulas!AS58,Formulas!AT58+2),"")))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21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IFERROR(INDEX(Datos!$A$2:$K$102,Formulas!AW57,RIGHT(Formulas!AY57)+2),"")))</f>
        <v/>
      </c>
      <c r="AX60" s="121" t="str" cm="1">
        <f t="array" aca="1" ref="AX60" ca="1">IF(OR(Formulas!AY58=0,Formulas!AY58=""),"",HYPERLINK("["&amp;Archivo_Nombre&amp;"]Datos!"&amp;LEFT(SUBSTITUTE(ADDRESS(1,Formulas!AY58+2),"$",""))&amp;Formulas!AX58+1,
IFERROR(INDEX(Datos!$A$2:$K$102,Formulas!AX58,Formulas!AY58+2),"")))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21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IFERROR(INDEX(Datos!$A$2:$K$102,Formulas!D58,RIGHT(Formulas!F58)+2),"")))</f>
        <v/>
      </c>
      <c r="E61" s="121" t="str" cm="1">
        <f t="array" aca="1" ref="E61" ca="1">IF(OR(Formulas!F59=0,Formulas!F59=""),"",HYPERLINK("["&amp;Archivo_Nombre&amp;"]Datos!"&amp;LEFT(SUBSTITUTE(ADDRESS(1,Formulas!F59+2),"$",""))&amp;Formulas!E59+1,
IFERROR(INDEX(Datos!$A$2:$K$102,Formulas!E59,Formulas!F59+2),"")))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21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IFERROR(INDEX(Datos!$A$2:$K$102,Formulas!I58,RIGHT(Formulas!K58)+2),"")))</f>
        <v>0</v>
      </c>
      <c r="J61" s="121" t="e" cm="1">
        <f t="array" aca="1" ref="J61" ca="1">IF(OR(Formulas!K59=0,Formulas!K59=""),"",HYPERLINK("["&amp;Archivo_Nombre&amp;"]Datos!"&amp;LEFT(SUBSTITUTE(ADDRESS(1,Formulas!K59+2),"$",""))&amp;Formulas!J59+1,
IFERROR(INDEX(Datos!$A$2:$K$102,Formulas!J59,Formulas!K59+2),"")))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21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IFERROR(INDEX(Datos!$A$2:$K$102,Formulas!N58,RIGHT(Formulas!P58)+2),"")))</f>
        <v/>
      </c>
      <c r="O61" s="121" t="str" cm="1">
        <f t="array" aca="1" ref="O61" ca="1">IF(OR(Formulas!P59=0,Formulas!P59=""),"",HYPERLINK("["&amp;Archivo_Nombre&amp;"]Datos!"&amp;LEFT(SUBSTITUTE(ADDRESS(1,Formulas!P59+2),"$",""))&amp;Formulas!O59+1,
IFERROR(INDEX(Datos!$A$2:$K$102,Formulas!O59,Formulas!P59+2),"")))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21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IFERROR(INDEX(Datos!$A$2:$K$102,Formulas!S58,RIGHT(Formulas!U58)+2),"")))</f>
        <v>Revisión por parte de la ingeniera guía del proyecto</v>
      </c>
      <c r="T61" s="121" t="e" cm="1">
        <f t="array" aca="1" ref="T61" ca="1">IF(OR(Formulas!U59=0,Formulas!U59=""),"",HYPERLINK("["&amp;Archivo_Nombre&amp;"]Datos!"&amp;LEFT(SUBSTITUTE(ADDRESS(1,Formulas!U59+2),"$",""))&amp;Formulas!T59+1,
IFERROR(INDEX(Datos!$A$2:$K$102,Formulas!T59,Formulas!U59+2),"")))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21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IFERROR(INDEX(Datos!$A$2:$K$102,Formulas!X58,RIGHT(Formulas!Z58)+2),"")))</f>
        <v/>
      </c>
      <c r="Y61" s="121" t="str" cm="1">
        <f t="array" aca="1" ref="Y61" ca="1">IF(OR(Formulas!Z59=0,Formulas!Z59=""),"",HYPERLINK("["&amp;Archivo_Nombre&amp;"]Datos!"&amp;LEFT(SUBSTITUTE(ADDRESS(1,Formulas!Z59+2),"$",""))&amp;Formulas!Y59+1,
IFERROR(INDEX(Datos!$A$2:$K$102,Formulas!Y59,Formulas!Z59+2),"")))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21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IFERROR(INDEX(Datos!$A$2:$K$102,Formulas!AC58,RIGHT(Formulas!AE58)+2),"")))</f>
        <v/>
      </c>
      <c r="AD61" s="121" t="str" cm="1">
        <f t="array" aca="1" ref="AD61" ca="1">IF(OR(Formulas!AE59=0,Formulas!AE59=""),"",HYPERLINK("["&amp;Archivo_Nombre&amp;"]Datos!"&amp;LEFT(SUBSTITUTE(ADDRESS(1,Formulas!AE59+2),"$",""))&amp;Formulas!AD59+1,
IFERROR(INDEX(Datos!$A$2:$K$102,Formulas!AD59,Formulas!AE59+2),"")))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21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IFERROR(INDEX(Datos!$A$2:$K$102,Formulas!AH58,RIGHT(Formulas!AJ58)+2),"")))</f>
        <v/>
      </c>
      <c r="AI61" s="121" t="str" cm="1">
        <f t="array" aca="1" ref="AI61" ca="1">IF(OR(Formulas!AJ59=0,Formulas!AJ59=""),"",HYPERLINK("["&amp;Archivo_Nombre&amp;"]Datos!"&amp;LEFT(SUBSTITUTE(ADDRESS(1,Formulas!AJ59+2),"$",""))&amp;Formulas!AI59+1,
IFERROR(INDEX(Datos!$A$2:$K$102,Formulas!AI59,Formulas!AJ59+2),"")))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21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IFERROR(INDEX(Datos!$A$2:$K$102,Formulas!AM58,RIGHT(Formulas!AO58)+2),"")))</f>
        <v/>
      </c>
      <c r="AN61" s="121" t="str" cm="1">
        <f t="array" aca="1" ref="AN61" ca="1">IF(OR(Formulas!AO59=0,Formulas!AO59=""),"",HYPERLINK("["&amp;Archivo_Nombre&amp;"]Datos!"&amp;LEFT(SUBSTITUTE(ADDRESS(1,Formulas!AO59+2),"$",""))&amp;Formulas!AN59+1,
IFERROR(INDEX(Datos!$A$2:$K$102,Formulas!AN59,Formulas!AO59+2),"")))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21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IFERROR(INDEX(Datos!$A$2:$K$102,Formulas!AR58,RIGHT(Formulas!AT58)+2),"")))</f>
        <v/>
      </c>
      <c r="AS61" s="121" t="str" cm="1">
        <f t="array" aca="1" ref="AS61" ca="1">IF(OR(Formulas!AT59=0,Formulas!AT59=""),"",HYPERLINK("["&amp;Archivo_Nombre&amp;"]Datos!"&amp;LEFT(SUBSTITUTE(ADDRESS(1,Formulas!AT59+2),"$",""))&amp;Formulas!AS59+1,
IFERROR(INDEX(Datos!$A$2:$K$102,Formulas!AS59,Formulas!AT59+2),"")))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21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IFERROR(INDEX(Datos!$A$2:$K$102,Formulas!AW58,RIGHT(Formulas!AY58)+2),"")))</f>
        <v/>
      </c>
      <c r="AX61" s="121" t="str" cm="1">
        <f t="array" aca="1" ref="AX61" ca="1">IF(OR(Formulas!AY59=0,Formulas!AY59=""),"",HYPERLINK("["&amp;Archivo_Nombre&amp;"]Datos!"&amp;LEFT(SUBSTITUTE(ADDRESS(1,Formulas!AY59+2),"$",""))&amp;Formulas!AX59+1,
IFERROR(INDEX(Datos!$A$2:$K$102,Formulas!AX59,Formulas!AY59+2),"")))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21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IFERROR(INDEX(Datos!$A$2:$K$102,Formulas!D59,RIGHT(Formulas!F59)+2),"")))</f>
        <v/>
      </c>
      <c r="E62" s="121" t="str" cm="1">
        <f t="array" aca="1" ref="E62" ca="1">IF(OR(Formulas!F60=0,Formulas!F60=""),"",HYPERLINK("["&amp;Archivo_Nombre&amp;"]Datos!"&amp;LEFT(SUBSTITUTE(ADDRESS(1,Formulas!F60+2),"$",""))&amp;Formulas!E60+1,
IFERROR(INDEX(Datos!$A$2:$K$102,Formulas!E60,Formulas!F60+2),"")))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21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IFERROR(INDEX(Datos!$A$2:$K$102,Formulas!I59,RIGHT(Formulas!K59)+2),"")))</f>
        <v>46001</v>
      </c>
      <c r="J62" s="121" t="e" cm="1">
        <f t="array" aca="1" ref="J62" ca="1">IF(OR(Formulas!K60=0,Formulas!K60=""),"",HYPERLINK("["&amp;Archivo_Nombre&amp;"]Datos!"&amp;LEFT(SUBSTITUTE(ADDRESS(1,Formulas!K60+2),"$",""))&amp;Formulas!J60+1,
IFERROR(INDEX(Datos!$A$2:$K$102,Formulas!J60,Formulas!K60+2),"")))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21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IFERROR(INDEX(Datos!$A$2:$K$102,Formulas!N59,RIGHT(Formulas!P59)+2),"")))</f>
        <v/>
      </c>
      <c r="O62" s="121" t="str" cm="1">
        <f t="array" aca="1" ref="O62" ca="1">IF(OR(Formulas!P60=0,Formulas!P60=""),"",HYPERLINK("["&amp;Archivo_Nombre&amp;"]Datos!"&amp;LEFT(SUBSTITUTE(ADDRESS(1,Formulas!P60+2),"$",""))&amp;Formulas!O60+1,
IFERROR(INDEX(Datos!$A$2:$K$102,Formulas!O60,Formulas!P60+2),"")))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21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IFERROR(INDEX(Datos!$A$2:$K$102,Formulas!S59,RIGHT(Formulas!U59)+2),"")))</f>
        <v>46007</v>
      </c>
      <c r="T62" s="121" t="e" cm="1">
        <f t="array" aca="1" ref="T62" ca="1">IF(OR(Formulas!U60=0,Formulas!U60=""),"",HYPERLINK("["&amp;Archivo_Nombre&amp;"]Datos!"&amp;LEFT(SUBSTITUTE(ADDRESS(1,Formulas!U60+2),"$",""))&amp;Formulas!T60+1,
IFERROR(INDEX(Datos!$A$2:$K$102,Formulas!T60,Formulas!U60+2),"")))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21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IFERROR(INDEX(Datos!$A$2:$K$102,Formulas!X59,RIGHT(Formulas!Z59)+2),"")))</f>
        <v/>
      </c>
      <c r="Y62" s="121" t="str" cm="1">
        <f t="array" aca="1" ref="Y62" ca="1">IF(OR(Formulas!Z60=0,Formulas!Z60=""),"",HYPERLINK("["&amp;Archivo_Nombre&amp;"]Datos!"&amp;LEFT(SUBSTITUTE(ADDRESS(1,Formulas!Z60+2),"$",""))&amp;Formulas!Y60+1,
IFERROR(INDEX(Datos!$A$2:$K$102,Formulas!Y60,Formulas!Z60+2),"")))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21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IFERROR(INDEX(Datos!$A$2:$K$102,Formulas!AC59,RIGHT(Formulas!AE59)+2),"")))</f>
        <v/>
      </c>
      <c r="AD62" s="121" t="str" cm="1">
        <f t="array" aca="1" ref="AD62" ca="1">IF(OR(Formulas!AE60=0,Formulas!AE60=""),"",HYPERLINK("["&amp;Archivo_Nombre&amp;"]Datos!"&amp;LEFT(SUBSTITUTE(ADDRESS(1,Formulas!AE60+2),"$",""))&amp;Formulas!AD60+1,
IFERROR(INDEX(Datos!$A$2:$K$102,Formulas!AD60,Formulas!AE60+2),"")))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21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IFERROR(INDEX(Datos!$A$2:$K$102,Formulas!AH59,RIGHT(Formulas!AJ59)+2),"")))</f>
        <v/>
      </c>
      <c r="AI62" s="121" t="str" cm="1">
        <f t="array" aca="1" ref="AI62" ca="1">IF(OR(Formulas!AJ60=0,Formulas!AJ60=""),"",HYPERLINK("["&amp;Archivo_Nombre&amp;"]Datos!"&amp;LEFT(SUBSTITUTE(ADDRESS(1,Formulas!AJ60+2),"$",""))&amp;Formulas!AI60+1,
IFERROR(INDEX(Datos!$A$2:$K$102,Formulas!AI60,Formulas!AJ60+2),"")))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21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IFERROR(INDEX(Datos!$A$2:$K$102,Formulas!AM59,RIGHT(Formulas!AO59)+2),"")))</f>
        <v/>
      </c>
      <c r="AN62" s="121" t="str" cm="1">
        <f t="array" aca="1" ref="AN62" ca="1">IF(OR(Formulas!AO60=0,Formulas!AO60=""),"",HYPERLINK("["&amp;Archivo_Nombre&amp;"]Datos!"&amp;LEFT(SUBSTITUTE(ADDRESS(1,Formulas!AO60+2),"$",""))&amp;Formulas!AN60+1,
IFERROR(INDEX(Datos!$A$2:$K$102,Formulas!AN60,Formulas!AO60+2),"")))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21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IFERROR(INDEX(Datos!$A$2:$K$102,Formulas!AR59,RIGHT(Formulas!AT59)+2),"")))</f>
        <v/>
      </c>
      <c r="AS62" s="121" t="str" cm="1">
        <f t="array" aca="1" ref="AS62" ca="1">IF(OR(Formulas!AT60=0,Formulas!AT60=""),"",HYPERLINK("["&amp;Archivo_Nombre&amp;"]Datos!"&amp;LEFT(SUBSTITUTE(ADDRESS(1,Formulas!AT60+2),"$",""))&amp;Formulas!AS60+1,
IFERROR(INDEX(Datos!$A$2:$K$102,Formulas!AS60,Formulas!AT60+2),"")))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21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IFERROR(INDEX(Datos!$A$2:$K$102,Formulas!AW59,RIGHT(Formulas!AY59)+2),"")))</f>
        <v/>
      </c>
      <c r="AX62" s="121" t="str" cm="1">
        <f t="array" aca="1" ref="AX62" ca="1">IF(OR(Formulas!AY60=0,Formulas!AY60=""),"",HYPERLINK("["&amp;Archivo_Nombre&amp;"]Datos!"&amp;LEFT(SUBSTITUTE(ADDRESS(1,Formulas!AY60+2),"$",""))&amp;Formulas!AX60+1,
IFERROR(INDEX(Datos!$A$2:$K$102,Formulas!AX60,Formulas!AY60+2),"")))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21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IFERROR(INDEX(Datos!$A$2:$K$102,Formulas!D60,RIGHT(Formulas!F60)+2),"")))</f>
        <v/>
      </c>
      <c r="E63" s="121" t="str" cm="1">
        <f t="array" aca="1" ref="E63" ca="1">IF(OR(Formulas!F61=0,Formulas!F61=""),"",HYPERLINK("["&amp;Archivo_Nombre&amp;"]Datos!"&amp;LEFT(SUBSTITUTE(ADDRESS(1,Formulas!F61+2),"$",""))&amp;Formulas!E61+1,
IFERROR(INDEX(Datos!$A$2:$K$102,Formulas!E61,Formulas!F61+2),"")))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21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IFERROR(INDEX(Datos!$A$2:$K$102,Formulas!I60,RIGHT(Formulas!K60)+2),"")))</f>
        <v>46043</v>
      </c>
      <c r="J63" s="121" t="e" cm="1">
        <f t="array" aca="1" ref="J63" ca="1">IF(OR(Formulas!K61=0,Formulas!K61=""),"",HYPERLINK("["&amp;Archivo_Nombre&amp;"]Datos!"&amp;LEFT(SUBSTITUTE(ADDRESS(1,Formulas!K61+2),"$",""))&amp;Formulas!J61+1,
IFERROR(INDEX(Datos!$A$2:$K$102,Formulas!J61,Formulas!K61+2),"")))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21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IFERROR(INDEX(Datos!$A$2:$K$102,Formulas!N60,RIGHT(Formulas!P60)+2),"")))</f>
        <v/>
      </c>
      <c r="O63" s="121" t="str" cm="1">
        <f t="array" aca="1" ref="O63" ca="1">IF(OR(Formulas!P61=0,Formulas!P61=""),"",HYPERLINK("["&amp;Archivo_Nombre&amp;"]Datos!"&amp;LEFT(SUBSTITUTE(ADDRESS(1,Formulas!P61+2),"$",""))&amp;Formulas!O61+1,
IFERROR(INDEX(Datos!$A$2:$K$102,Formulas!O61,Formulas!P61+2),"")))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21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IFERROR(INDEX(Datos!$A$2:$K$102,Formulas!S60,RIGHT(Formulas!U60)+2),"")))</f>
        <v>46007</v>
      </c>
      <c r="T63" s="121" t="e" cm="1">
        <f t="array" aca="1" ref="T63" ca="1">IF(OR(Formulas!U61=0,Formulas!U61=""),"",HYPERLINK("["&amp;Archivo_Nombre&amp;"]Datos!"&amp;LEFT(SUBSTITUTE(ADDRESS(1,Formulas!U61+2),"$",""))&amp;Formulas!T61+1,
IFERROR(INDEX(Datos!$A$2:$K$102,Formulas!T61,Formulas!U61+2),"")))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21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IFERROR(INDEX(Datos!$A$2:$K$102,Formulas!X60,RIGHT(Formulas!Z60)+2),"")))</f>
        <v/>
      </c>
      <c r="Y63" s="121" t="str" cm="1">
        <f t="array" aca="1" ref="Y63" ca="1">IF(OR(Formulas!Z61=0,Formulas!Z61=""),"",HYPERLINK("["&amp;Archivo_Nombre&amp;"]Datos!"&amp;LEFT(SUBSTITUTE(ADDRESS(1,Formulas!Z61+2),"$",""))&amp;Formulas!Y61+1,
IFERROR(INDEX(Datos!$A$2:$K$102,Formulas!Y61,Formulas!Z61+2),"")))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21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IFERROR(INDEX(Datos!$A$2:$K$102,Formulas!AC60,RIGHT(Formulas!AE60)+2),"")))</f>
        <v/>
      </c>
      <c r="AD63" s="121" t="str" cm="1">
        <f t="array" aca="1" ref="AD63" ca="1">IF(OR(Formulas!AE61=0,Formulas!AE61=""),"",HYPERLINK("["&amp;Archivo_Nombre&amp;"]Datos!"&amp;LEFT(SUBSTITUTE(ADDRESS(1,Formulas!AE61+2),"$",""))&amp;Formulas!AD61+1,
IFERROR(INDEX(Datos!$A$2:$K$102,Formulas!AD61,Formulas!AE61+2),"")))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21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IFERROR(INDEX(Datos!$A$2:$K$102,Formulas!AH60,RIGHT(Formulas!AJ60)+2),"")))</f>
        <v/>
      </c>
      <c r="AI63" s="121" t="str" cm="1">
        <f t="array" aca="1" ref="AI63" ca="1">IF(OR(Formulas!AJ61=0,Formulas!AJ61=""),"",HYPERLINK("["&amp;Archivo_Nombre&amp;"]Datos!"&amp;LEFT(SUBSTITUTE(ADDRESS(1,Formulas!AJ61+2),"$",""))&amp;Formulas!AI61+1,
IFERROR(INDEX(Datos!$A$2:$K$102,Formulas!AI61,Formulas!AJ61+2),"")))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21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IFERROR(INDEX(Datos!$A$2:$K$102,Formulas!AM60,RIGHT(Formulas!AO60)+2),"")))</f>
        <v/>
      </c>
      <c r="AN63" s="121" t="str" cm="1">
        <f t="array" aca="1" ref="AN63" ca="1">IF(OR(Formulas!AO61=0,Formulas!AO61=""),"",HYPERLINK("["&amp;Archivo_Nombre&amp;"]Datos!"&amp;LEFT(SUBSTITUTE(ADDRESS(1,Formulas!AO61+2),"$",""))&amp;Formulas!AN61+1,
IFERROR(INDEX(Datos!$A$2:$K$102,Formulas!AN61,Formulas!AO61+2),"")))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21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IFERROR(INDEX(Datos!$A$2:$K$102,Formulas!AR60,RIGHT(Formulas!AT60)+2),"")))</f>
        <v/>
      </c>
      <c r="AS63" s="121" t="str" cm="1">
        <f t="array" aca="1" ref="AS63" ca="1">IF(OR(Formulas!AT61=0,Formulas!AT61=""),"",HYPERLINK("["&amp;Archivo_Nombre&amp;"]Datos!"&amp;LEFT(SUBSTITUTE(ADDRESS(1,Formulas!AT61+2),"$",""))&amp;Formulas!AS61+1,
IFERROR(INDEX(Datos!$A$2:$K$102,Formulas!AS61,Formulas!AT61+2),"")))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21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IFERROR(INDEX(Datos!$A$2:$K$102,Formulas!AW60,RIGHT(Formulas!AY60)+2),"")))</f>
        <v/>
      </c>
      <c r="AX63" s="121" t="str" cm="1">
        <f t="array" aca="1" ref="AX63" ca="1">IF(OR(Formulas!AY61=0,Formulas!AY61=""),"",HYPERLINK("["&amp;Archivo_Nombre&amp;"]Datos!"&amp;LEFT(SUBSTITUTE(ADDRESS(1,Formulas!AY61+2),"$",""))&amp;Formulas!AX61+1,
IFERROR(INDEX(Datos!$A$2:$K$102,Formulas!AX61,Formulas!AY61+2),"")))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21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IFERROR(INDEX(Datos!$A$2:$K$102,Formulas!D61,RIGHT(Formulas!F61)+2),"")))</f>
        <v/>
      </c>
      <c r="E64" s="121" t="str" cm="1">
        <f t="array" aca="1" ref="E64" ca="1">IF(OR(Formulas!F62=0,Formulas!F62=""),"",HYPERLINK("["&amp;Archivo_Nombre&amp;"]Datos!"&amp;LEFT(SUBSTITUTE(ADDRESS(1,Formulas!F62+2),"$",""))&amp;Formulas!E62+1,
IFERROR(INDEX(Datos!$A$2:$K$102,Formulas!E62,Formulas!F62+2),"")))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21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IFERROR(INDEX(Datos!$A$2:$K$102,Formulas!I61,RIGHT(Formulas!K61)+2),"")))</f>
        <v>46002</v>
      </c>
      <c r="J64" s="121" t="e" cm="1">
        <f t="array" aca="1" ref="J64" ca="1">IF(OR(Formulas!K62=0,Formulas!K62=""),"",HYPERLINK("["&amp;Archivo_Nombre&amp;"]Datos!"&amp;LEFT(SUBSTITUTE(ADDRESS(1,Formulas!K62+2),"$",""))&amp;Formulas!J62+1,
IFERROR(INDEX(Datos!$A$2:$K$102,Formulas!J62,Formulas!K62+2),"")))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21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IFERROR(INDEX(Datos!$A$2:$K$102,Formulas!N61,RIGHT(Formulas!P61)+2),"")))</f>
        <v/>
      </c>
      <c r="O64" s="121" t="str" cm="1">
        <f t="array" aca="1" ref="O64" ca="1">IF(OR(Formulas!P62=0,Formulas!P62=""),"",HYPERLINK("["&amp;Archivo_Nombre&amp;"]Datos!"&amp;LEFT(SUBSTITUTE(ADDRESS(1,Formulas!P62+2),"$",""))&amp;Formulas!O62+1,
IFERROR(INDEX(Datos!$A$2:$K$102,Formulas!O62,Formulas!P62+2),"")))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21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IFERROR(INDEX(Datos!$A$2:$K$102,Formulas!S61,RIGHT(Formulas!U61)+2),"")))</f>
        <v>46007</v>
      </c>
      <c r="T64" s="121" t="e" cm="1">
        <f t="array" aca="1" ref="T64" ca="1">IF(OR(Formulas!U62=0,Formulas!U62=""),"",HYPERLINK("["&amp;Archivo_Nombre&amp;"]Datos!"&amp;LEFT(SUBSTITUTE(ADDRESS(1,Formulas!U62+2),"$",""))&amp;Formulas!T62+1,
IFERROR(INDEX(Datos!$A$2:$K$102,Formulas!T62,Formulas!U62+2),"")))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21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IFERROR(INDEX(Datos!$A$2:$K$102,Formulas!X61,RIGHT(Formulas!Z61)+2),"")))</f>
        <v/>
      </c>
      <c r="Y64" s="121" t="str" cm="1">
        <f t="array" aca="1" ref="Y64" ca="1">IF(OR(Formulas!Z62=0,Formulas!Z62=""),"",HYPERLINK("["&amp;Archivo_Nombre&amp;"]Datos!"&amp;LEFT(SUBSTITUTE(ADDRESS(1,Formulas!Z62+2),"$",""))&amp;Formulas!Y62+1,
IFERROR(INDEX(Datos!$A$2:$K$102,Formulas!Y62,Formulas!Z62+2),"")))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21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IFERROR(INDEX(Datos!$A$2:$K$102,Formulas!AC61,RIGHT(Formulas!AE61)+2),"")))</f>
        <v/>
      </c>
      <c r="AD64" s="121" t="str" cm="1">
        <f t="array" aca="1" ref="AD64" ca="1">IF(OR(Formulas!AE62=0,Formulas!AE62=""),"",HYPERLINK("["&amp;Archivo_Nombre&amp;"]Datos!"&amp;LEFT(SUBSTITUTE(ADDRESS(1,Formulas!AE62+2),"$",""))&amp;Formulas!AD62+1,
IFERROR(INDEX(Datos!$A$2:$K$102,Formulas!AD62,Formulas!AE62+2),"")))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21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IFERROR(INDEX(Datos!$A$2:$K$102,Formulas!AH61,RIGHT(Formulas!AJ61)+2),"")))</f>
        <v/>
      </c>
      <c r="AI64" s="121" t="str" cm="1">
        <f t="array" aca="1" ref="AI64" ca="1">IF(OR(Formulas!AJ62=0,Formulas!AJ62=""),"",HYPERLINK("["&amp;Archivo_Nombre&amp;"]Datos!"&amp;LEFT(SUBSTITUTE(ADDRESS(1,Formulas!AJ62+2),"$",""))&amp;Formulas!AI62+1,
IFERROR(INDEX(Datos!$A$2:$K$102,Formulas!AI62,Formulas!AJ62+2),"")))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21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IFERROR(INDEX(Datos!$A$2:$K$102,Formulas!AM61,RIGHT(Formulas!AO61)+2),"")))</f>
        <v/>
      </c>
      <c r="AN64" s="121" t="str" cm="1">
        <f t="array" aca="1" ref="AN64" ca="1">IF(OR(Formulas!AO62=0,Formulas!AO62=""),"",HYPERLINK("["&amp;Archivo_Nombre&amp;"]Datos!"&amp;LEFT(SUBSTITUTE(ADDRESS(1,Formulas!AO62+2),"$",""))&amp;Formulas!AN62+1,
IFERROR(INDEX(Datos!$A$2:$K$102,Formulas!AN62,Formulas!AO62+2),"")))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21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IFERROR(INDEX(Datos!$A$2:$K$102,Formulas!AR61,RIGHT(Formulas!AT61)+2),"")))</f>
        <v/>
      </c>
      <c r="AS64" s="121" t="str" cm="1">
        <f t="array" aca="1" ref="AS64" ca="1">IF(OR(Formulas!AT62=0,Formulas!AT62=""),"",HYPERLINK("["&amp;Archivo_Nombre&amp;"]Datos!"&amp;LEFT(SUBSTITUTE(ADDRESS(1,Formulas!AT62+2),"$",""))&amp;Formulas!AS62+1,
IFERROR(INDEX(Datos!$A$2:$K$102,Formulas!AS62,Formulas!AT62+2),"")))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21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IFERROR(INDEX(Datos!$A$2:$K$102,Formulas!AW61,RIGHT(Formulas!AY61)+2),"")))</f>
        <v/>
      </c>
      <c r="AX64" s="121" t="str" cm="1">
        <f t="array" aca="1" ref="AX64" ca="1">IF(OR(Formulas!AY62=0,Formulas!AY62=""),"",HYPERLINK("["&amp;Archivo_Nombre&amp;"]Datos!"&amp;LEFT(SUBSTITUTE(ADDRESS(1,Formulas!AY62+2),"$",""))&amp;Formulas!AX62+1,
IFERROR(INDEX(Datos!$A$2:$K$102,Formulas!AX62,Formulas!AY62+2),"")))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21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IFERROR(INDEX(Datos!$A$2:$K$102,Formulas!D62,RIGHT(Formulas!F62)+2),"")))</f>
        <v/>
      </c>
      <c r="E65" s="121" t="str" cm="1">
        <f t="array" aca="1" ref="E65" ca="1">IF(OR(Formulas!F63=0,Formulas!F63=""),"",HYPERLINK("["&amp;Archivo_Nombre&amp;"]Datos!"&amp;LEFT(SUBSTITUTE(ADDRESS(1,Formulas!F63+2),"$",""))&amp;Formulas!E63+1,
IFERROR(INDEX(Datos!$A$2:$K$102,Formulas!E63,Formulas!F63+2),"")))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21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IFERROR(INDEX(Datos!$A$2:$K$102,Formulas!I62,RIGHT(Formulas!K62)+2),"")))</f>
        <v>2 días</v>
      </c>
      <c r="J65" s="121" t="e" cm="1">
        <f t="array" aca="1" ref="J65" ca="1">IF(OR(Formulas!K63=0,Formulas!K63=""),"",HYPERLINK("["&amp;Archivo_Nombre&amp;"]Datos!"&amp;LEFT(SUBSTITUTE(ADDRESS(1,Formulas!K63+2),"$",""))&amp;Formulas!J63+1,
IFERROR(INDEX(Datos!$A$2:$K$102,Formulas!J63,Formulas!K63+2),"")))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21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IFERROR(INDEX(Datos!$A$2:$K$102,Formulas!N62,RIGHT(Formulas!P62)+2),"")))</f>
        <v/>
      </c>
      <c r="O65" s="121" t="str" cm="1">
        <f t="array" aca="1" ref="O65" ca="1">IF(OR(Formulas!P63=0,Formulas!P63=""),"",HYPERLINK("["&amp;Archivo_Nombre&amp;"]Datos!"&amp;LEFT(SUBSTITUTE(ADDRESS(1,Formulas!P63+2),"$",""))&amp;Formulas!O63+1,
IFERROR(INDEX(Datos!$A$2:$K$102,Formulas!O63,Formulas!P63+2),"")))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21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IFERROR(INDEX(Datos!$A$2:$K$102,Formulas!S62,RIGHT(Formulas!U62)+2),"")))</f>
        <v>1 días</v>
      </c>
      <c r="T65" s="121" t="e" cm="1">
        <f t="array" aca="1" ref="T65" ca="1">IF(OR(Formulas!U63=0,Formulas!U63=""),"",HYPERLINK("["&amp;Archivo_Nombre&amp;"]Datos!"&amp;LEFT(SUBSTITUTE(ADDRESS(1,Formulas!U63+2),"$",""))&amp;Formulas!T63+1,
IFERROR(INDEX(Datos!$A$2:$K$102,Formulas!T63,Formulas!U63+2),"")))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21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IFERROR(INDEX(Datos!$A$2:$K$102,Formulas!X62,RIGHT(Formulas!Z62)+2),"")))</f>
        <v/>
      </c>
      <c r="Y65" s="121" t="str" cm="1">
        <f t="array" aca="1" ref="Y65" ca="1">IF(OR(Formulas!Z63=0,Formulas!Z63=""),"",HYPERLINK("["&amp;Archivo_Nombre&amp;"]Datos!"&amp;LEFT(SUBSTITUTE(ADDRESS(1,Formulas!Z63+2),"$",""))&amp;Formulas!Y63+1,
IFERROR(INDEX(Datos!$A$2:$K$102,Formulas!Y63,Formulas!Z63+2),"")))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21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IFERROR(INDEX(Datos!$A$2:$K$102,Formulas!AC62,RIGHT(Formulas!AE62)+2),"")))</f>
        <v/>
      </c>
      <c r="AD65" s="121" t="str" cm="1">
        <f t="array" aca="1" ref="AD65" ca="1">IF(OR(Formulas!AE63=0,Formulas!AE63=""),"",HYPERLINK("["&amp;Archivo_Nombre&amp;"]Datos!"&amp;LEFT(SUBSTITUTE(ADDRESS(1,Formulas!AE63+2),"$",""))&amp;Formulas!AD63+1,
IFERROR(INDEX(Datos!$A$2:$K$102,Formulas!AD63,Formulas!AE63+2),"")))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21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IFERROR(INDEX(Datos!$A$2:$K$102,Formulas!AH62,RIGHT(Formulas!AJ62)+2),"")))</f>
        <v/>
      </c>
      <c r="AI65" s="121" t="str" cm="1">
        <f t="array" aca="1" ref="AI65" ca="1">IF(OR(Formulas!AJ63=0,Formulas!AJ63=""),"",HYPERLINK("["&amp;Archivo_Nombre&amp;"]Datos!"&amp;LEFT(SUBSTITUTE(ADDRESS(1,Formulas!AJ63+2),"$",""))&amp;Formulas!AI63+1,
IFERROR(INDEX(Datos!$A$2:$K$102,Formulas!AI63,Formulas!AJ63+2),"")))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21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IFERROR(INDEX(Datos!$A$2:$K$102,Formulas!AM62,RIGHT(Formulas!AO62)+2),"")))</f>
        <v/>
      </c>
      <c r="AN65" s="121" t="str" cm="1">
        <f t="array" aca="1" ref="AN65" ca="1">IF(OR(Formulas!AO63=0,Formulas!AO63=""),"",HYPERLINK("["&amp;Archivo_Nombre&amp;"]Datos!"&amp;LEFT(SUBSTITUTE(ADDRESS(1,Formulas!AO63+2),"$",""))&amp;Formulas!AN63+1,
IFERROR(INDEX(Datos!$A$2:$K$102,Formulas!AN63,Formulas!AO63+2),"")))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21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IFERROR(INDEX(Datos!$A$2:$K$102,Formulas!AR62,RIGHT(Formulas!AT62)+2),"")))</f>
        <v/>
      </c>
      <c r="AS65" s="121" t="str" cm="1">
        <f t="array" aca="1" ref="AS65" ca="1">IF(OR(Formulas!AT63=0,Formulas!AT63=""),"",HYPERLINK("["&amp;Archivo_Nombre&amp;"]Datos!"&amp;LEFT(SUBSTITUTE(ADDRESS(1,Formulas!AT63+2),"$",""))&amp;Formulas!AS63+1,
IFERROR(INDEX(Datos!$A$2:$K$102,Formulas!AS63,Formulas!AT63+2),"")))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21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IFERROR(INDEX(Datos!$A$2:$K$102,Formulas!AW62,RIGHT(Formulas!AY62)+2),"")))</f>
        <v/>
      </c>
      <c r="AX65" s="121" t="str" cm="1">
        <f t="array" aca="1" ref="AX65" ca="1">IF(OR(Formulas!AY63=0,Formulas!AY63=""),"",HYPERLINK("["&amp;Archivo_Nombre&amp;"]Datos!"&amp;LEFT(SUBSTITUTE(ADDRESS(1,Formulas!AY63+2),"$",""))&amp;Formulas!AX63+1,
IFERROR(INDEX(Datos!$A$2:$K$102,Formulas!AX63,Formulas!AY63+2),"")))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21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IFERROR(INDEX(Datos!$A$2:$K$102,Formulas!D63,RIGHT(Formulas!F63)+2),"")))</f>
        <v/>
      </c>
      <c r="E66" s="121" t="str" cm="1">
        <f t="array" aca="1" ref="E66" ca="1">IF(OR(Formulas!F64=0,Formulas!F64=""),"",HYPERLINK("["&amp;Archivo_Nombre&amp;"]Datos!"&amp;LEFT(SUBSTITUTE(ADDRESS(1,Formulas!F64+2),"$",""))&amp;Formulas!E64+1,
IFERROR(INDEX(Datos!$A$2:$K$102,Formulas!E64,Formulas!F64+2),"")))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21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IFERROR(INDEX(Datos!$A$2:$K$102,Formulas!I63,RIGHT(Formulas!K63)+2),"")))</f>
        <v>0 días</v>
      </c>
      <c r="J66" s="121" t="e" cm="1">
        <f t="array" aca="1" ref="J66" ca="1">IF(OR(Formulas!K64=0,Formulas!K64=""),"",HYPERLINK("["&amp;Archivo_Nombre&amp;"]Datos!"&amp;LEFT(SUBSTITUTE(ADDRESS(1,Formulas!K64+2),"$",""))&amp;Formulas!J64+1,
IFERROR(INDEX(Datos!$A$2:$K$102,Formulas!J64,Formulas!K64+2),"")))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21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IFERROR(INDEX(Datos!$A$2:$K$102,Formulas!N63,RIGHT(Formulas!P63)+2),"")))</f>
        <v/>
      </c>
      <c r="O66" s="121" t="str" cm="1">
        <f t="array" aca="1" ref="O66" ca="1">IF(OR(Formulas!P64=0,Formulas!P64=""),"",HYPERLINK("["&amp;Archivo_Nombre&amp;"]Datos!"&amp;LEFT(SUBSTITUTE(ADDRESS(1,Formulas!P64+2),"$",""))&amp;Formulas!O64+1,
IFERROR(INDEX(Datos!$A$2:$K$102,Formulas!O64,Formulas!P64+2),"")))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21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IFERROR(INDEX(Datos!$A$2:$K$102,Formulas!S63,RIGHT(Formulas!U63)+2),"")))</f>
        <v>0 días</v>
      </c>
      <c r="T66" s="121" t="e" cm="1">
        <f t="array" aca="1" ref="T66" ca="1">IF(OR(Formulas!U64=0,Formulas!U64=""),"",HYPERLINK("["&amp;Archivo_Nombre&amp;"]Datos!"&amp;LEFT(SUBSTITUTE(ADDRESS(1,Formulas!U64+2),"$",""))&amp;Formulas!T64+1,
IFERROR(INDEX(Datos!$A$2:$K$102,Formulas!T64,Formulas!U64+2),"")))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21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IFERROR(INDEX(Datos!$A$2:$K$102,Formulas!X63,RIGHT(Formulas!Z63)+2),"")))</f>
        <v/>
      </c>
      <c r="Y66" s="121" t="str" cm="1">
        <f t="array" aca="1" ref="Y66" ca="1">IF(OR(Formulas!Z64=0,Formulas!Z64=""),"",HYPERLINK("["&amp;Archivo_Nombre&amp;"]Datos!"&amp;LEFT(SUBSTITUTE(ADDRESS(1,Formulas!Z64+2),"$",""))&amp;Formulas!Y64+1,
IFERROR(INDEX(Datos!$A$2:$K$102,Formulas!Y64,Formulas!Z64+2),"")))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21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IFERROR(INDEX(Datos!$A$2:$K$102,Formulas!AC63,RIGHT(Formulas!AE63)+2),"")))</f>
        <v/>
      </c>
      <c r="AD66" s="121" t="str" cm="1">
        <f t="array" aca="1" ref="AD66" ca="1">IF(OR(Formulas!AE64=0,Formulas!AE64=""),"",HYPERLINK("["&amp;Archivo_Nombre&amp;"]Datos!"&amp;LEFT(SUBSTITUTE(ADDRESS(1,Formulas!AE64+2),"$",""))&amp;Formulas!AD64+1,
IFERROR(INDEX(Datos!$A$2:$K$102,Formulas!AD64,Formulas!AE64+2),"")))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21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IFERROR(INDEX(Datos!$A$2:$K$102,Formulas!AH63,RIGHT(Formulas!AJ63)+2),"")))</f>
        <v/>
      </c>
      <c r="AI66" s="121" t="str" cm="1">
        <f t="array" aca="1" ref="AI66" ca="1">IF(OR(Formulas!AJ64=0,Formulas!AJ64=""),"",HYPERLINK("["&amp;Archivo_Nombre&amp;"]Datos!"&amp;LEFT(SUBSTITUTE(ADDRESS(1,Formulas!AJ64+2),"$",""))&amp;Formulas!AI64+1,
IFERROR(INDEX(Datos!$A$2:$K$102,Formulas!AI64,Formulas!AJ64+2),"")))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21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IFERROR(INDEX(Datos!$A$2:$K$102,Formulas!AM63,RIGHT(Formulas!AO63)+2),"")))</f>
        <v/>
      </c>
      <c r="AN66" s="121" t="str" cm="1">
        <f t="array" aca="1" ref="AN66" ca="1">IF(OR(Formulas!AO64=0,Formulas!AO64=""),"",HYPERLINK("["&amp;Archivo_Nombre&amp;"]Datos!"&amp;LEFT(SUBSTITUTE(ADDRESS(1,Formulas!AO64+2),"$",""))&amp;Formulas!AN64+1,
IFERROR(INDEX(Datos!$A$2:$K$102,Formulas!AN64,Formulas!AO64+2),"")))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21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IFERROR(INDEX(Datos!$A$2:$K$102,Formulas!AR63,RIGHT(Formulas!AT63)+2),"")))</f>
        <v/>
      </c>
      <c r="AS66" s="121" t="str" cm="1">
        <f t="array" aca="1" ref="AS66" ca="1">IF(OR(Formulas!AT64=0,Formulas!AT64=""),"",HYPERLINK("["&amp;Archivo_Nombre&amp;"]Datos!"&amp;LEFT(SUBSTITUTE(ADDRESS(1,Formulas!AT64+2),"$",""))&amp;Formulas!AS64+1,
IFERROR(INDEX(Datos!$A$2:$K$102,Formulas!AS64,Formulas!AT64+2),"")))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21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IFERROR(INDEX(Datos!$A$2:$K$102,Formulas!AW63,RIGHT(Formulas!AY63)+2),"")))</f>
        <v/>
      </c>
      <c r="AX66" s="121" t="str" cm="1">
        <f t="array" aca="1" ref="AX66" ca="1">IF(OR(Formulas!AY64=0,Formulas!AY64=""),"",HYPERLINK("["&amp;Archivo_Nombre&amp;"]Datos!"&amp;LEFT(SUBSTITUTE(ADDRESS(1,Formulas!AY64+2),"$",""))&amp;Formulas!AX64+1,
IFERROR(INDEX(Datos!$A$2:$K$102,Formulas!AX64,Formulas!AY64+2),"")))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21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IFERROR(INDEX(Datos!$A$2:$K$102,Formulas!D64,RIGHT(Formulas!F64)+2),"")))</f>
        <v/>
      </c>
      <c r="E67" s="121" t="str" cm="1">
        <f t="array" aca="1" ref="E67" ca="1">IF(OR(Formulas!F65=0,Formulas!F65=""),"",HYPERLINK("["&amp;Archivo_Nombre&amp;"]Datos!"&amp;LEFT(SUBSTITUTE(ADDRESS(1,Formulas!F65+2),"$",""))&amp;Formulas!E65+1,
IFERROR(INDEX(Datos!$A$2:$K$102,Formulas!E65,Formulas!F65+2),"")))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21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IFERROR(INDEX(Datos!$A$2:$K$102,Formulas!I64,RIGHT(Formulas!K64)+2),"")))</f>
        <v>Madellyn Tasipanta</v>
      </c>
      <c r="J67" s="121" t="str" cm="1">
        <f t="array" aca="1" ref="J67" ca="1">IF(OR(Formulas!K65=0,Formulas!K65=""),"",HYPERLINK("["&amp;Archivo_Nombre&amp;"]Datos!"&amp;LEFT(SUBSTITUTE(ADDRESS(1,Formulas!K65+2),"$",""))&amp;Formulas!J65+1,
IFERROR(INDEX(Datos!$A$2:$K$102,Formulas!J65,Formulas!K65+2),"")))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21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IFERROR(INDEX(Datos!$A$2:$K$102,Formulas!N64,RIGHT(Formulas!P64)+2),"")))</f>
        <v/>
      </c>
      <c r="O67" s="121" t="str" cm="1">
        <f t="array" aca="1" ref="O67" ca="1">IF(OR(Formulas!P65=0,Formulas!P65=""),"",HYPERLINK("["&amp;Archivo_Nombre&amp;"]Datos!"&amp;LEFT(SUBSTITUTE(ADDRESS(1,Formulas!P65+2),"$",""))&amp;Formulas!O65+1,
IFERROR(INDEX(Datos!$A$2:$K$102,Formulas!O65,Formulas!P65+2),"")))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21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IFERROR(INDEX(Datos!$A$2:$K$102,Formulas!S64,RIGHT(Formulas!U64)+2),"")))</f>
        <v>Ing. Jenny Ruiz</v>
      </c>
      <c r="T67" s="121" t="str" cm="1">
        <f t="array" aca="1" ref="T67" ca="1">IF(OR(Formulas!U65=0,Formulas!U65=""),"",HYPERLINK("["&amp;Archivo_Nombre&amp;"]Datos!"&amp;LEFT(SUBSTITUTE(ADDRESS(1,Formulas!U65+2),"$",""))&amp;Formulas!T65+1,
IFERROR(INDEX(Datos!$A$2:$K$102,Formulas!T65,Formulas!U65+2),"")))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21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IFERROR(INDEX(Datos!$A$2:$K$102,Formulas!X64,RIGHT(Formulas!Z64)+2),"")))</f>
        <v/>
      </c>
      <c r="Y67" s="121" t="str" cm="1">
        <f t="array" aca="1" ref="Y67" ca="1">IF(OR(Formulas!Z65=0,Formulas!Z65=""),"",HYPERLINK("["&amp;Archivo_Nombre&amp;"]Datos!"&amp;LEFT(SUBSTITUTE(ADDRESS(1,Formulas!Z65+2),"$",""))&amp;Formulas!Y65+1,
IFERROR(INDEX(Datos!$A$2:$K$102,Formulas!Y65,Formulas!Z65+2),"")))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21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IFERROR(INDEX(Datos!$A$2:$K$102,Formulas!AC64,RIGHT(Formulas!AE64)+2),"")))</f>
        <v/>
      </c>
      <c r="AD67" s="121" t="str" cm="1">
        <f t="array" aca="1" ref="AD67" ca="1">IF(OR(Formulas!AE65=0,Formulas!AE65=""),"",HYPERLINK("["&amp;Archivo_Nombre&amp;"]Datos!"&amp;LEFT(SUBSTITUTE(ADDRESS(1,Formulas!AE65+2),"$",""))&amp;Formulas!AD65+1,
IFERROR(INDEX(Datos!$A$2:$K$102,Formulas!AD65,Formulas!AE65+2),"")))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21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IFERROR(INDEX(Datos!$A$2:$K$102,Formulas!AH64,RIGHT(Formulas!AJ64)+2),"")))</f>
        <v/>
      </c>
      <c r="AI67" s="121" t="str" cm="1">
        <f t="array" aca="1" ref="AI67" ca="1">IF(OR(Formulas!AJ65=0,Formulas!AJ65=""),"",HYPERLINK("["&amp;Archivo_Nombre&amp;"]Datos!"&amp;LEFT(SUBSTITUTE(ADDRESS(1,Formulas!AJ65+2),"$",""))&amp;Formulas!AI65+1,
IFERROR(INDEX(Datos!$A$2:$K$102,Formulas!AI65,Formulas!AJ65+2),"")))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21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IFERROR(INDEX(Datos!$A$2:$K$102,Formulas!AM64,RIGHT(Formulas!AO64)+2),"")))</f>
        <v/>
      </c>
      <c r="AN67" s="121" t="str" cm="1">
        <f t="array" aca="1" ref="AN67" ca="1">IF(OR(Formulas!AO65=0,Formulas!AO65=""),"",HYPERLINK("["&amp;Archivo_Nombre&amp;"]Datos!"&amp;LEFT(SUBSTITUTE(ADDRESS(1,Formulas!AO65+2),"$",""))&amp;Formulas!AN65+1,
IFERROR(INDEX(Datos!$A$2:$K$102,Formulas!AN65,Formulas!AO65+2),"")))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21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IFERROR(INDEX(Datos!$A$2:$K$102,Formulas!AR64,RIGHT(Formulas!AT64)+2),"")))</f>
        <v/>
      </c>
      <c r="AS67" s="121" t="str" cm="1">
        <f t="array" aca="1" ref="AS67" ca="1">IF(OR(Formulas!AT65=0,Formulas!AT65=""),"",HYPERLINK("["&amp;Archivo_Nombre&amp;"]Datos!"&amp;LEFT(SUBSTITUTE(ADDRESS(1,Formulas!AT65+2),"$",""))&amp;Formulas!AS65+1,
IFERROR(INDEX(Datos!$A$2:$K$102,Formulas!AS65,Formulas!AT65+2),"")))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21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IFERROR(INDEX(Datos!$A$2:$K$102,Formulas!AW64,RIGHT(Formulas!AY64)+2),"")))</f>
        <v/>
      </c>
      <c r="AX67" s="121" t="str" cm="1">
        <f t="array" aca="1" ref="AX67" ca="1">IF(OR(Formulas!AY65=0,Formulas!AY65=""),"",HYPERLINK("["&amp;Archivo_Nombre&amp;"]Datos!"&amp;LEFT(SUBSTITUTE(ADDRESS(1,Formulas!AY65+2),"$",""))&amp;Formulas!AX65+1,
IFERROR(INDEX(Datos!$A$2:$K$102,Formulas!AX65,Formulas!AY65+2),"")))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21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IFERROR(INDEX(Datos!$A$2:$K$102,Formulas!D65,RIGHT(Formulas!F65)+2),"")))</f>
        <v/>
      </c>
      <c r="E68" s="121" t="str" cm="1">
        <f t="array" aca="1" ref="E68" ca="1">IF(OR(Formulas!F66=0,Formulas!F66=""),"",HYPERLINK("["&amp;Archivo_Nombre&amp;"]Datos!"&amp;LEFT(SUBSTITUTE(ADDRESS(1,Formulas!F66+2),"$",""))&amp;Formulas!E66+1,
IFERROR(INDEX(Datos!$A$2:$K$102,Formulas!E66,Formulas!F66+2),"")))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21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IFERROR(INDEX(Datos!$A$2:$K$102,Formulas!I65,RIGHT(Formulas!K65)+2),"")))</f>
        <v/>
      </c>
      <c r="J68" s="121" t="e" cm="1">
        <f t="array" aca="1" ref="J68" ca="1">IF(OR(Formulas!K66=0,Formulas!K66=""),"",HYPERLINK("["&amp;Archivo_Nombre&amp;"]Datos!"&amp;LEFT(SUBSTITUTE(ADDRESS(1,Formulas!K66+2),"$",""))&amp;Formulas!J66+1,
IFERROR(INDEX(Datos!$A$2:$K$102,Formulas!J66,Formulas!K66+2),"")))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21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IFERROR(INDEX(Datos!$A$2:$K$102,Formulas!N65,RIGHT(Formulas!P65)+2),"")))</f>
        <v/>
      </c>
      <c r="O68" s="121" t="str" cm="1">
        <f t="array" aca="1" ref="O68" ca="1">IF(OR(Formulas!P66=0,Formulas!P66=""),"",HYPERLINK("["&amp;Archivo_Nombre&amp;"]Datos!"&amp;LEFT(SUBSTITUTE(ADDRESS(1,Formulas!P66+2),"$",""))&amp;Formulas!O66+1,
IFERROR(INDEX(Datos!$A$2:$K$102,Formulas!O66,Formulas!P66+2),"")))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21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IFERROR(INDEX(Datos!$A$2:$K$102,Formulas!S65,RIGHT(Formulas!U65)+2),"")))</f>
        <v/>
      </c>
      <c r="T68" s="121" t="e" cm="1">
        <f t="array" aca="1" ref="T68" ca="1">IF(OR(Formulas!U66=0,Formulas!U66=""),"",HYPERLINK("["&amp;Archivo_Nombre&amp;"]Datos!"&amp;LEFT(SUBSTITUTE(ADDRESS(1,Formulas!U66+2),"$",""))&amp;Formulas!T66+1,
IFERROR(INDEX(Datos!$A$2:$K$102,Formulas!T66,Formulas!U66+2),"")))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21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IFERROR(INDEX(Datos!$A$2:$K$102,Formulas!X65,RIGHT(Formulas!Z65)+2),"")))</f>
        <v/>
      </c>
      <c r="Y68" s="121" t="str" cm="1">
        <f t="array" aca="1" ref="Y68" ca="1">IF(OR(Formulas!Z66=0,Formulas!Z66=""),"",HYPERLINK("["&amp;Archivo_Nombre&amp;"]Datos!"&amp;LEFT(SUBSTITUTE(ADDRESS(1,Formulas!Z66+2),"$",""))&amp;Formulas!Y66+1,
IFERROR(INDEX(Datos!$A$2:$K$102,Formulas!Y66,Formulas!Z66+2),"")))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21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IFERROR(INDEX(Datos!$A$2:$K$102,Formulas!AC65,RIGHT(Formulas!AE65)+2),"")))</f>
        <v/>
      </c>
      <c r="AD68" s="121" t="str" cm="1">
        <f t="array" aca="1" ref="AD68" ca="1">IF(OR(Formulas!AE66=0,Formulas!AE66=""),"",HYPERLINK("["&amp;Archivo_Nombre&amp;"]Datos!"&amp;LEFT(SUBSTITUTE(ADDRESS(1,Formulas!AE66+2),"$",""))&amp;Formulas!AD66+1,
IFERROR(INDEX(Datos!$A$2:$K$102,Formulas!AD66,Formulas!AE66+2),"")))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21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IFERROR(INDEX(Datos!$A$2:$K$102,Formulas!AH65,RIGHT(Formulas!AJ65)+2),"")))</f>
        <v/>
      </c>
      <c r="AI68" s="121" t="str" cm="1">
        <f t="array" aca="1" ref="AI68" ca="1">IF(OR(Formulas!AJ66=0,Formulas!AJ66=""),"",HYPERLINK("["&amp;Archivo_Nombre&amp;"]Datos!"&amp;LEFT(SUBSTITUTE(ADDRESS(1,Formulas!AJ66+2),"$",""))&amp;Formulas!AI66+1,
IFERROR(INDEX(Datos!$A$2:$K$102,Formulas!AI66,Formulas!AJ66+2),"")))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21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IFERROR(INDEX(Datos!$A$2:$K$102,Formulas!AM65,RIGHT(Formulas!AO65)+2),"")))</f>
        <v/>
      </c>
      <c r="AN68" s="121" t="str" cm="1">
        <f t="array" aca="1" ref="AN68" ca="1">IF(OR(Formulas!AO66=0,Formulas!AO66=""),"",HYPERLINK("["&amp;Archivo_Nombre&amp;"]Datos!"&amp;LEFT(SUBSTITUTE(ADDRESS(1,Formulas!AO66+2),"$",""))&amp;Formulas!AN66+1,
IFERROR(INDEX(Datos!$A$2:$K$102,Formulas!AN66,Formulas!AO66+2),"")))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21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IFERROR(INDEX(Datos!$A$2:$K$102,Formulas!AR65,RIGHT(Formulas!AT65)+2),"")))</f>
        <v/>
      </c>
      <c r="AS68" s="121" t="str" cm="1">
        <f t="array" aca="1" ref="AS68" ca="1">IF(OR(Formulas!AT66=0,Formulas!AT66=""),"",HYPERLINK("["&amp;Archivo_Nombre&amp;"]Datos!"&amp;LEFT(SUBSTITUTE(ADDRESS(1,Formulas!AT66+2),"$",""))&amp;Formulas!AS66+1,
IFERROR(INDEX(Datos!$A$2:$K$102,Formulas!AS66,Formulas!AT66+2),"")))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21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IFERROR(INDEX(Datos!$A$2:$K$102,Formulas!AW65,RIGHT(Formulas!AY65)+2),"")))</f>
        <v/>
      </c>
      <c r="AX68" s="121" t="str" cm="1">
        <f t="array" aca="1" ref="AX68" ca="1">IF(OR(Formulas!AY66=0,Formulas!AY66=""),"",HYPERLINK("["&amp;Archivo_Nombre&amp;"]Datos!"&amp;LEFT(SUBSTITUTE(ADDRESS(1,Formulas!AY66+2),"$",""))&amp;Formulas!AX66+1,
IFERROR(INDEX(Datos!$A$2:$K$102,Formulas!AX66,Formulas!AY66+2),"")))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21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IFERROR(INDEX(Datos!$A$2:$K$102,Formulas!D66,RIGHT(Formulas!F66)+2),"")))</f>
        <v/>
      </c>
      <c r="E69" s="121" t="str" cm="1">
        <f t="array" aca="1" ref="E69" ca="1">IF(OR(Formulas!F67=0,Formulas!F67=""),"",HYPERLINK("["&amp;Archivo_Nombre&amp;"]Datos!"&amp;LEFT(SUBSTITUTE(ADDRESS(1,Formulas!F67+2),"$",""))&amp;Formulas!E67+1,
IFERROR(INDEX(Datos!$A$2:$K$102,Formulas!E67,Formulas!F67+2),"")))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62:</v>
      </c>
      <c r="I69" s="121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IFERROR(INDEX(Datos!$A$2:$K$102,Formulas!I66,RIGHT(Formulas!K66)+2),"")))</f>
        <v>REQ007-1 Revisar que todos los campos requeridos estén completos.</v>
      </c>
      <c r="J69" s="121" t="e" cm="1">
        <f t="array" aca="1" ref="J69" ca="1">IF(OR(Formulas!K67=0,Formulas!K67=""),"",HYPERLINK("["&amp;Archivo_Nombre&amp;"]Datos!"&amp;LEFT(SUBSTITUTE(ADDRESS(1,Formulas!K67+2),"$",""))&amp;Formulas!J67+1,
IFERROR(INDEX(Datos!$A$2:$K$102,Formulas!J67,Formulas!K67+2),"")))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21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IFERROR(INDEX(Datos!$A$2:$K$102,Formulas!N66,RIGHT(Formulas!P66)+2),"")))</f>
        <v/>
      </c>
      <c r="O69" s="121" t="str" cm="1">
        <f t="array" aca="1" ref="O69" ca="1">IF(OR(Formulas!P67=0,Formulas!P67=""),"",HYPERLINK("["&amp;Archivo_Nombre&amp;"]Datos!"&amp;LEFT(SUBSTITUTE(ADDRESS(1,Formulas!P67+2),"$",""))&amp;Formulas!O67+1,
IFERROR(INDEX(Datos!$A$2:$K$102,Formulas!O67,Formulas!P67+2),"")))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51:</v>
      </c>
      <c r="S69" s="121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IFERROR(INDEX(Datos!$A$2:$K$102,Formulas!S66,RIGHT(Formulas!U66)+2),"")))</f>
        <v>Presentación de proyectos con funcionalidad SPRINT1,2,3...</v>
      </c>
      <c r="T69" s="121" t="e" cm="1">
        <f t="array" aca="1" ref="T69" ca="1">IF(OR(Formulas!U67=0,Formulas!U67=""),"",HYPERLINK("["&amp;Archivo_Nombre&amp;"]Datos!"&amp;LEFT(SUBSTITUTE(ADDRESS(1,Formulas!U67+2),"$",""))&amp;Formulas!T67+1,
IFERROR(INDEX(Datos!$A$2:$K$102,Formulas!T67,Formulas!U67+2),"")))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21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IFERROR(INDEX(Datos!$A$2:$K$102,Formulas!X66,RIGHT(Formulas!Z66)+2),"")))</f>
        <v/>
      </c>
      <c r="Y69" s="121" t="str" cm="1">
        <f t="array" aca="1" ref="Y69" ca="1">IF(OR(Formulas!Z67=0,Formulas!Z67=""),"",HYPERLINK("["&amp;Archivo_Nombre&amp;"]Datos!"&amp;LEFT(SUBSTITUTE(ADDRESS(1,Formulas!Z67+2),"$",""))&amp;Formulas!Y67+1,
IFERROR(INDEX(Datos!$A$2:$K$102,Formulas!Y67,Formulas!Z67+2),"")))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21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IFERROR(INDEX(Datos!$A$2:$K$102,Formulas!AC66,RIGHT(Formulas!AE66)+2),"")))</f>
        <v/>
      </c>
      <c r="AD69" s="121" t="str" cm="1">
        <f t="array" aca="1" ref="AD69" ca="1">IF(OR(Formulas!AE67=0,Formulas!AE67=""),"",HYPERLINK("["&amp;Archivo_Nombre&amp;"]Datos!"&amp;LEFT(SUBSTITUTE(ADDRESS(1,Formulas!AE67+2),"$",""))&amp;Formulas!AD67+1,
IFERROR(INDEX(Datos!$A$2:$K$102,Formulas!AD67,Formulas!AE67+2),"")))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21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IFERROR(INDEX(Datos!$A$2:$K$102,Formulas!AH66,RIGHT(Formulas!AJ66)+2),"")))</f>
        <v/>
      </c>
      <c r="AI69" s="121" t="str" cm="1">
        <f t="array" aca="1" ref="AI69" ca="1">IF(OR(Formulas!AJ67=0,Formulas!AJ67=""),"",HYPERLINK("["&amp;Archivo_Nombre&amp;"]Datos!"&amp;LEFT(SUBSTITUTE(ADDRESS(1,Formulas!AJ67+2),"$",""))&amp;Formulas!AI67+1,
IFERROR(INDEX(Datos!$A$2:$K$102,Formulas!AI67,Formulas!AJ67+2),"")))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21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IFERROR(INDEX(Datos!$A$2:$K$102,Formulas!AM66,RIGHT(Formulas!AO66)+2),"")))</f>
        <v/>
      </c>
      <c r="AN69" s="121" t="str" cm="1">
        <f t="array" aca="1" ref="AN69" ca="1">IF(OR(Formulas!AO67=0,Formulas!AO67=""),"",HYPERLINK("["&amp;Archivo_Nombre&amp;"]Datos!"&amp;LEFT(SUBSTITUTE(ADDRESS(1,Formulas!AO67+2),"$",""))&amp;Formulas!AN67+1,
IFERROR(INDEX(Datos!$A$2:$K$102,Formulas!AN67,Formulas!AO67+2),"")))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21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IFERROR(INDEX(Datos!$A$2:$K$102,Formulas!AR66,RIGHT(Formulas!AT66)+2),"")))</f>
        <v/>
      </c>
      <c r="AS69" s="121" t="str" cm="1">
        <f t="array" aca="1" ref="AS69" ca="1">IF(OR(Formulas!AT67=0,Formulas!AT67=""),"",HYPERLINK("["&amp;Archivo_Nombre&amp;"]Datos!"&amp;LEFT(SUBSTITUTE(ADDRESS(1,Formulas!AT67+2),"$",""))&amp;Formulas!AS67+1,
IFERROR(INDEX(Datos!$A$2:$K$102,Formulas!AS67,Formulas!AT67+2),"")))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21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IFERROR(INDEX(Datos!$A$2:$K$102,Formulas!AW66,RIGHT(Formulas!AY66)+2),"")))</f>
        <v/>
      </c>
      <c r="AX69" s="121" t="str" cm="1">
        <f t="array" aca="1" ref="AX69" ca="1">IF(OR(Formulas!AY67=0,Formulas!AY67=""),"",HYPERLINK("["&amp;Archivo_Nombre&amp;"]Datos!"&amp;LEFT(SUBSTITUTE(ADDRESS(1,Formulas!AY67+2),"$",""))&amp;Formulas!AX67+1,
IFERROR(INDEX(Datos!$A$2:$K$102,Formulas!AX67,Formulas!AY67+2),"")))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21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IFERROR(INDEX(Datos!$A$2:$K$102,Formulas!D67,RIGHT(Formulas!F67)+2),"")))</f>
        <v/>
      </c>
      <c r="E70" s="121" t="str" cm="1">
        <f t="array" aca="1" ref="E70" ca="1">IF(OR(Formulas!F68=0,Formulas!F68=""),"",HYPERLINK("["&amp;Archivo_Nombre&amp;"]Datos!"&amp;LEFT(SUBSTITUTE(ADDRESS(1,Formulas!F68+2),"$",""))&amp;Formulas!E68+1,
IFERROR(INDEX(Datos!$A$2:$K$102,Formulas!E68,Formulas!F68+2),"")))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21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IFERROR(INDEX(Datos!$A$2:$K$102,Formulas!I67,RIGHT(Formulas!K67)+2),"")))</f>
        <v>Guardar contratos dentro del sistema</v>
      </c>
      <c r="J70" s="121" t="e" cm="1">
        <f t="array" aca="1" ref="J70" ca="1">IF(OR(Formulas!K68=0,Formulas!K68=""),"",HYPERLINK("["&amp;Archivo_Nombre&amp;"]Datos!"&amp;LEFT(SUBSTITUTE(ADDRESS(1,Formulas!K68+2),"$",""))&amp;Formulas!J68+1,
IFERROR(INDEX(Datos!$A$2:$K$102,Formulas!J68,Formulas!K68+2),"")))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21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IFERROR(INDEX(Datos!$A$2:$K$102,Formulas!N67,RIGHT(Formulas!P67)+2),"")))</f>
        <v/>
      </c>
      <c r="O70" s="121" t="str" cm="1">
        <f t="array" aca="1" ref="O70" ca="1">IF(OR(Formulas!P68=0,Formulas!P68=""),"",HYPERLINK("["&amp;Archivo_Nombre&amp;"]Datos!"&amp;LEFT(SUBSTITUTE(ADDRESS(1,Formulas!P68+2),"$",""))&amp;Formulas!O68+1,
IFERROR(INDEX(Datos!$A$2:$K$102,Formulas!O68,Formulas!P68+2),"")))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21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IFERROR(INDEX(Datos!$A$2:$K$102,Formulas!S67,RIGHT(Formulas!U67)+2),"")))</f>
        <v>Revisión por parte de la ingeniera guía del proyecto</v>
      </c>
      <c r="T70" s="121" t="e" cm="1">
        <f t="array" aca="1" ref="T70" ca="1">IF(OR(Formulas!U68=0,Formulas!U68=""),"",HYPERLINK("["&amp;Archivo_Nombre&amp;"]Datos!"&amp;LEFT(SUBSTITUTE(ADDRESS(1,Formulas!U68+2),"$",""))&amp;Formulas!T68+1,
IFERROR(INDEX(Datos!$A$2:$K$102,Formulas!T68,Formulas!U68+2),"")))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21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IFERROR(INDEX(Datos!$A$2:$K$102,Formulas!X67,RIGHT(Formulas!Z67)+2),"")))</f>
        <v/>
      </c>
      <c r="Y70" s="121" t="str" cm="1">
        <f t="array" aca="1" ref="Y70" ca="1">IF(OR(Formulas!Z68=0,Formulas!Z68=""),"",HYPERLINK("["&amp;Archivo_Nombre&amp;"]Datos!"&amp;LEFT(SUBSTITUTE(ADDRESS(1,Formulas!Z68+2),"$",""))&amp;Formulas!Y68+1,
IFERROR(INDEX(Datos!$A$2:$K$102,Formulas!Y68,Formulas!Z68+2),"")))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21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IFERROR(INDEX(Datos!$A$2:$K$102,Formulas!AC67,RIGHT(Formulas!AE67)+2),"")))</f>
        <v/>
      </c>
      <c r="AD70" s="121" t="str" cm="1">
        <f t="array" aca="1" ref="AD70" ca="1">IF(OR(Formulas!AE68=0,Formulas!AE68=""),"",HYPERLINK("["&amp;Archivo_Nombre&amp;"]Datos!"&amp;LEFT(SUBSTITUTE(ADDRESS(1,Formulas!AE68+2),"$",""))&amp;Formulas!AD68+1,
IFERROR(INDEX(Datos!$A$2:$K$102,Formulas!AD68,Formulas!AE68+2),"")))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21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IFERROR(INDEX(Datos!$A$2:$K$102,Formulas!AH67,RIGHT(Formulas!AJ67)+2),"")))</f>
        <v/>
      </c>
      <c r="AI70" s="121" t="str" cm="1">
        <f t="array" aca="1" ref="AI70" ca="1">IF(OR(Formulas!AJ68=0,Formulas!AJ68=""),"",HYPERLINK("["&amp;Archivo_Nombre&amp;"]Datos!"&amp;LEFT(SUBSTITUTE(ADDRESS(1,Formulas!AJ68+2),"$",""))&amp;Formulas!AI68+1,
IFERROR(INDEX(Datos!$A$2:$K$102,Formulas!AI68,Formulas!AJ68+2),"")))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21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IFERROR(INDEX(Datos!$A$2:$K$102,Formulas!AM67,RIGHT(Formulas!AO67)+2),"")))</f>
        <v/>
      </c>
      <c r="AN70" s="121" t="str" cm="1">
        <f t="array" aca="1" ref="AN70" ca="1">IF(OR(Formulas!AO68=0,Formulas!AO68=""),"",HYPERLINK("["&amp;Archivo_Nombre&amp;"]Datos!"&amp;LEFT(SUBSTITUTE(ADDRESS(1,Formulas!AO68+2),"$",""))&amp;Formulas!AN68+1,
IFERROR(INDEX(Datos!$A$2:$K$102,Formulas!AN68,Formulas!AO68+2),"")))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21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IFERROR(INDEX(Datos!$A$2:$K$102,Formulas!AR67,RIGHT(Formulas!AT67)+2),"")))</f>
        <v/>
      </c>
      <c r="AS70" s="121" t="str" cm="1">
        <f t="array" aca="1" ref="AS70" ca="1">IF(OR(Formulas!AT68=0,Formulas!AT68=""),"",HYPERLINK("["&amp;Archivo_Nombre&amp;"]Datos!"&amp;LEFT(SUBSTITUTE(ADDRESS(1,Formulas!AT68+2),"$",""))&amp;Formulas!AS68+1,
IFERROR(INDEX(Datos!$A$2:$K$102,Formulas!AS68,Formulas!AT68+2),"")))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21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IFERROR(INDEX(Datos!$A$2:$K$102,Formulas!AW67,RIGHT(Formulas!AY67)+2),"")))</f>
        <v/>
      </c>
      <c r="AX70" s="121" t="str" cm="1">
        <f t="array" aca="1" ref="AX70" ca="1">IF(OR(Formulas!AY68=0,Formulas!AY68=""),"",HYPERLINK("["&amp;Archivo_Nombre&amp;"]Datos!"&amp;LEFT(SUBSTITUTE(ADDRESS(1,Formulas!AY68+2),"$",""))&amp;Formulas!AX68+1,
IFERROR(INDEX(Datos!$A$2:$K$102,Formulas!AX68,Formulas!AY68+2),"")))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21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IFERROR(INDEX(Datos!$A$2:$K$102,Formulas!D68,RIGHT(Formulas!F68)+2),"")))</f>
        <v/>
      </c>
      <c r="E71" s="121" t="str" cm="1">
        <f t="array" aca="1" ref="E71" ca="1">IF(OR(Formulas!F69=0,Formulas!F69=""),"",HYPERLINK("["&amp;Archivo_Nombre&amp;"]Datos!"&amp;LEFT(SUBSTITUTE(ADDRESS(1,Formulas!F69+2),"$",""))&amp;Formulas!E69+1,
IFERROR(INDEX(Datos!$A$2:$K$102,Formulas!E69,Formulas!F69+2),"")))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21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IFERROR(INDEX(Datos!$A$2:$K$102,Formulas!I68,RIGHT(Formulas!K68)+2),"")))</f>
        <v>46000</v>
      </c>
      <c r="J71" s="121" t="e" cm="1">
        <f t="array" aca="1" ref="J71" ca="1">IF(OR(Formulas!K69=0,Formulas!K69=""),"",HYPERLINK("["&amp;Archivo_Nombre&amp;"]Datos!"&amp;LEFT(SUBSTITUTE(ADDRESS(1,Formulas!K69+2),"$",""))&amp;Formulas!J69+1,
IFERROR(INDEX(Datos!$A$2:$K$102,Formulas!J69,Formulas!K69+2),"")))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21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IFERROR(INDEX(Datos!$A$2:$K$102,Formulas!N68,RIGHT(Formulas!P68)+2),"")))</f>
        <v/>
      </c>
      <c r="O71" s="121" t="str" cm="1">
        <f t="array" aca="1" ref="O71" ca="1">IF(OR(Formulas!P69=0,Formulas!P69=""),"",HYPERLINK("["&amp;Archivo_Nombre&amp;"]Datos!"&amp;LEFT(SUBSTITUTE(ADDRESS(1,Formulas!P69+2),"$",""))&amp;Formulas!O69+1,
IFERROR(INDEX(Datos!$A$2:$K$102,Formulas!O69,Formulas!P69+2),"")))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21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IFERROR(INDEX(Datos!$A$2:$K$102,Formulas!S68,RIGHT(Formulas!U68)+2),"")))</f>
        <v>46007</v>
      </c>
      <c r="T71" s="121" t="e" cm="1">
        <f t="array" aca="1" ref="T71" ca="1">IF(OR(Formulas!U69=0,Formulas!U69=""),"",HYPERLINK("["&amp;Archivo_Nombre&amp;"]Datos!"&amp;LEFT(SUBSTITUTE(ADDRESS(1,Formulas!U69+2),"$",""))&amp;Formulas!T69+1,
IFERROR(INDEX(Datos!$A$2:$K$102,Formulas!T69,Formulas!U69+2),"")))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21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IFERROR(INDEX(Datos!$A$2:$K$102,Formulas!X68,RIGHT(Formulas!Z68)+2),"")))</f>
        <v/>
      </c>
      <c r="Y71" s="121" t="str" cm="1">
        <f t="array" aca="1" ref="Y71" ca="1">IF(OR(Formulas!Z69=0,Formulas!Z69=""),"",HYPERLINK("["&amp;Archivo_Nombre&amp;"]Datos!"&amp;LEFT(SUBSTITUTE(ADDRESS(1,Formulas!Z69+2),"$",""))&amp;Formulas!Y69+1,
IFERROR(INDEX(Datos!$A$2:$K$102,Formulas!Y69,Formulas!Z69+2),"")))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21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IFERROR(INDEX(Datos!$A$2:$K$102,Formulas!AC68,RIGHT(Formulas!AE68)+2),"")))</f>
        <v/>
      </c>
      <c r="AD71" s="121" t="str" cm="1">
        <f t="array" aca="1" ref="AD71" ca="1">IF(OR(Formulas!AE69=0,Formulas!AE69=""),"",HYPERLINK("["&amp;Archivo_Nombre&amp;"]Datos!"&amp;LEFT(SUBSTITUTE(ADDRESS(1,Formulas!AE69+2),"$",""))&amp;Formulas!AD69+1,
IFERROR(INDEX(Datos!$A$2:$K$102,Formulas!AD69,Formulas!AE69+2),"")))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21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IFERROR(INDEX(Datos!$A$2:$K$102,Formulas!AH68,RIGHT(Formulas!AJ68)+2),"")))</f>
        <v/>
      </c>
      <c r="AI71" s="121" t="str" cm="1">
        <f t="array" aca="1" ref="AI71" ca="1">IF(OR(Formulas!AJ69=0,Formulas!AJ69=""),"",HYPERLINK("["&amp;Archivo_Nombre&amp;"]Datos!"&amp;LEFT(SUBSTITUTE(ADDRESS(1,Formulas!AJ69+2),"$",""))&amp;Formulas!AI69+1,
IFERROR(INDEX(Datos!$A$2:$K$102,Formulas!AI69,Formulas!AJ69+2),"")))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21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IFERROR(INDEX(Datos!$A$2:$K$102,Formulas!AM68,RIGHT(Formulas!AO68)+2),"")))</f>
        <v/>
      </c>
      <c r="AN71" s="121" t="str" cm="1">
        <f t="array" aca="1" ref="AN71" ca="1">IF(OR(Formulas!AO69=0,Formulas!AO69=""),"",HYPERLINK("["&amp;Archivo_Nombre&amp;"]Datos!"&amp;LEFT(SUBSTITUTE(ADDRESS(1,Formulas!AO69+2),"$",""))&amp;Formulas!AN69+1,
IFERROR(INDEX(Datos!$A$2:$K$102,Formulas!AN69,Formulas!AO69+2),"")))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21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IFERROR(INDEX(Datos!$A$2:$K$102,Formulas!AR68,RIGHT(Formulas!AT68)+2),"")))</f>
        <v/>
      </c>
      <c r="AS71" s="121" t="str" cm="1">
        <f t="array" aca="1" ref="AS71" ca="1">IF(OR(Formulas!AT69=0,Formulas!AT69=""),"",HYPERLINK("["&amp;Archivo_Nombre&amp;"]Datos!"&amp;LEFT(SUBSTITUTE(ADDRESS(1,Formulas!AT69+2),"$",""))&amp;Formulas!AS69+1,
IFERROR(INDEX(Datos!$A$2:$K$102,Formulas!AS69,Formulas!AT69+2),"")))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21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IFERROR(INDEX(Datos!$A$2:$K$102,Formulas!AW68,RIGHT(Formulas!AY68)+2),"")))</f>
        <v/>
      </c>
      <c r="AX71" s="121" t="str" cm="1">
        <f t="array" aca="1" ref="AX71" ca="1">IF(OR(Formulas!AY69=0,Formulas!AY69=""),"",HYPERLINK("["&amp;Archivo_Nombre&amp;"]Datos!"&amp;LEFT(SUBSTITUTE(ADDRESS(1,Formulas!AY69+2),"$",""))&amp;Formulas!AX69+1,
IFERROR(INDEX(Datos!$A$2:$K$102,Formulas!AX69,Formulas!AY69+2),"")))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21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IFERROR(INDEX(Datos!$A$2:$K$102,Formulas!D69,RIGHT(Formulas!F69)+2),"")))</f>
        <v/>
      </c>
      <c r="E72" s="121" t="str" cm="1">
        <f t="array" aca="1" ref="E72" ca="1">IF(OR(Formulas!F70=0,Formulas!F70=""),"",HYPERLINK("["&amp;Archivo_Nombre&amp;"]Datos!"&amp;LEFT(SUBSTITUTE(ADDRESS(1,Formulas!F70+2),"$",""))&amp;Formulas!E70+1,
IFERROR(INDEX(Datos!$A$2:$K$102,Formulas!E70,Formulas!F70+2),"")))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21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IFERROR(INDEX(Datos!$A$2:$K$102,Formulas!I69,RIGHT(Formulas!K69)+2),"")))</f>
        <v>46043</v>
      </c>
      <c r="J72" s="121" t="e" cm="1">
        <f t="array" aca="1" ref="J72" ca="1">IF(OR(Formulas!K70=0,Formulas!K70=""),"",HYPERLINK("["&amp;Archivo_Nombre&amp;"]Datos!"&amp;LEFT(SUBSTITUTE(ADDRESS(1,Formulas!K70+2),"$",""))&amp;Formulas!J70+1,
IFERROR(INDEX(Datos!$A$2:$K$102,Formulas!J70,Formulas!K70+2),"")))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21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IFERROR(INDEX(Datos!$A$2:$K$102,Formulas!N69,RIGHT(Formulas!P69)+2),"")))</f>
        <v/>
      </c>
      <c r="O72" s="121" t="str" cm="1">
        <f t="array" aca="1" ref="O72" ca="1">IF(OR(Formulas!P70=0,Formulas!P70=""),"",HYPERLINK("["&amp;Archivo_Nombre&amp;"]Datos!"&amp;LEFT(SUBSTITUTE(ADDRESS(1,Formulas!P70+2),"$",""))&amp;Formulas!O70+1,
IFERROR(INDEX(Datos!$A$2:$K$102,Formulas!O70,Formulas!P70+2),"")))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21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IFERROR(INDEX(Datos!$A$2:$K$102,Formulas!S69,RIGHT(Formulas!U69)+2),"")))</f>
        <v>46007</v>
      </c>
      <c r="T72" s="121" t="e" cm="1">
        <f t="array" aca="1" ref="T72" ca="1">IF(OR(Formulas!U70=0,Formulas!U70=""),"",HYPERLINK("["&amp;Archivo_Nombre&amp;"]Datos!"&amp;LEFT(SUBSTITUTE(ADDRESS(1,Formulas!U70+2),"$",""))&amp;Formulas!T70+1,
IFERROR(INDEX(Datos!$A$2:$K$102,Formulas!T70,Formulas!U70+2),"")))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21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IFERROR(INDEX(Datos!$A$2:$K$102,Formulas!X69,RIGHT(Formulas!Z69)+2),"")))</f>
        <v/>
      </c>
      <c r="Y72" s="121" t="str" cm="1">
        <f t="array" aca="1" ref="Y72" ca="1">IF(OR(Formulas!Z70=0,Formulas!Z70=""),"",HYPERLINK("["&amp;Archivo_Nombre&amp;"]Datos!"&amp;LEFT(SUBSTITUTE(ADDRESS(1,Formulas!Z70+2),"$",""))&amp;Formulas!Y70+1,
IFERROR(INDEX(Datos!$A$2:$K$102,Formulas!Y70,Formulas!Z70+2),"")))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21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IFERROR(INDEX(Datos!$A$2:$K$102,Formulas!AC69,RIGHT(Formulas!AE69)+2),"")))</f>
        <v/>
      </c>
      <c r="AD72" s="121" t="str" cm="1">
        <f t="array" aca="1" ref="AD72" ca="1">IF(OR(Formulas!AE70=0,Formulas!AE70=""),"",HYPERLINK("["&amp;Archivo_Nombre&amp;"]Datos!"&amp;LEFT(SUBSTITUTE(ADDRESS(1,Formulas!AE70+2),"$",""))&amp;Formulas!AD70+1,
IFERROR(INDEX(Datos!$A$2:$K$102,Formulas!AD70,Formulas!AE70+2),"")))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21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IFERROR(INDEX(Datos!$A$2:$K$102,Formulas!AH69,RIGHT(Formulas!AJ69)+2),"")))</f>
        <v/>
      </c>
      <c r="AI72" s="121" t="str" cm="1">
        <f t="array" aca="1" ref="AI72" ca="1">IF(OR(Formulas!AJ70=0,Formulas!AJ70=""),"",HYPERLINK("["&amp;Archivo_Nombre&amp;"]Datos!"&amp;LEFT(SUBSTITUTE(ADDRESS(1,Formulas!AJ70+2),"$",""))&amp;Formulas!AI70+1,
IFERROR(INDEX(Datos!$A$2:$K$102,Formulas!AI70,Formulas!AJ70+2),"")))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21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IFERROR(INDEX(Datos!$A$2:$K$102,Formulas!AM69,RIGHT(Formulas!AO69)+2),"")))</f>
        <v/>
      </c>
      <c r="AN72" s="121" t="str" cm="1">
        <f t="array" aca="1" ref="AN72" ca="1">IF(OR(Formulas!AO70=0,Formulas!AO70=""),"",HYPERLINK("["&amp;Archivo_Nombre&amp;"]Datos!"&amp;LEFT(SUBSTITUTE(ADDRESS(1,Formulas!AO70+2),"$",""))&amp;Formulas!AN70+1,
IFERROR(INDEX(Datos!$A$2:$K$102,Formulas!AN70,Formulas!AO70+2),"")))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21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IFERROR(INDEX(Datos!$A$2:$K$102,Formulas!AR69,RIGHT(Formulas!AT69)+2),"")))</f>
        <v/>
      </c>
      <c r="AS72" s="121" t="str" cm="1">
        <f t="array" aca="1" ref="AS72" ca="1">IF(OR(Formulas!AT70=0,Formulas!AT70=""),"",HYPERLINK("["&amp;Archivo_Nombre&amp;"]Datos!"&amp;LEFT(SUBSTITUTE(ADDRESS(1,Formulas!AT70+2),"$",""))&amp;Formulas!AS70+1,
IFERROR(INDEX(Datos!$A$2:$K$102,Formulas!AS70,Formulas!AT70+2),"")))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21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IFERROR(INDEX(Datos!$A$2:$K$102,Formulas!AW69,RIGHT(Formulas!AY69)+2),"")))</f>
        <v/>
      </c>
      <c r="AX72" s="121" t="str" cm="1">
        <f t="array" aca="1" ref="AX72" ca="1">IF(OR(Formulas!AY70=0,Formulas!AY70=""),"",HYPERLINK("["&amp;Archivo_Nombre&amp;"]Datos!"&amp;LEFT(SUBSTITUTE(ADDRESS(1,Formulas!AY70+2),"$",""))&amp;Formulas!AX70+1,
IFERROR(INDEX(Datos!$A$2:$K$102,Formulas!AX70,Formulas!AY70+2),"")))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21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IFERROR(INDEX(Datos!$A$2:$K$102,Formulas!D70,RIGHT(Formulas!F70)+2),"")))</f>
        <v/>
      </c>
      <c r="E73" s="121" t="str" cm="1">
        <f t="array" aca="1" ref="E73" ca="1">IF(OR(Formulas!F71=0,Formulas!F71=""),"",HYPERLINK("["&amp;Archivo_Nombre&amp;"]Datos!"&amp;LEFT(SUBSTITUTE(ADDRESS(1,Formulas!F71+2),"$",""))&amp;Formulas!E71+1,
IFERROR(INDEX(Datos!$A$2:$K$102,Formulas!E71,Formulas!F71+2),"")))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21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IFERROR(INDEX(Datos!$A$2:$K$102,Formulas!I70,RIGHT(Formulas!K70)+2),"")))</f>
        <v>46001</v>
      </c>
      <c r="J73" s="121" t="e" cm="1">
        <f t="array" aca="1" ref="J73" ca="1">IF(OR(Formulas!K71=0,Formulas!K71=""),"",HYPERLINK("["&amp;Archivo_Nombre&amp;"]Datos!"&amp;LEFT(SUBSTITUTE(ADDRESS(1,Formulas!K71+2),"$",""))&amp;Formulas!J71+1,
IFERROR(INDEX(Datos!$A$2:$K$102,Formulas!J71,Formulas!K71+2),"")))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21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IFERROR(INDEX(Datos!$A$2:$K$102,Formulas!N70,RIGHT(Formulas!P70)+2),"")))</f>
        <v/>
      </c>
      <c r="O73" s="121" t="str" cm="1">
        <f t="array" aca="1" ref="O73" ca="1">IF(OR(Formulas!P71=0,Formulas!P71=""),"",HYPERLINK("["&amp;Archivo_Nombre&amp;"]Datos!"&amp;LEFT(SUBSTITUTE(ADDRESS(1,Formulas!P71+2),"$",""))&amp;Formulas!O71+1,
IFERROR(INDEX(Datos!$A$2:$K$102,Formulas!O71,Formulas!P71+2),"")))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21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IFERROR(INDEX(Datos!$A$2:$K$102,Formulas!S70,RIGHT(Formulas!U70)+2),"")))</f>
        <v>46007</v>
      </c>
      <c r="T73" s="121" t="e" cm="1">
        <f t="array" aca="1" ref="T73" ca="1">IF(OR(Formulas!U71=0,Formulas!U71=""),"",HYPERLINK("["&amp;Archivo_Nombre&amp;"]Datos!"&amp;LEFT(SUBSTITUTE(ADDRESS(1,Formulas!U71+2),"$",""))&amp;Formulas!T71+1,
IFERROR(INDEX(Datos!$A$2:$K$102,Formulas!T71,Formulas!U71+2),"")))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21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IFERROR(INDEX(Datos!$A$2:$K$102,Formulas!X70,RIGHT(Formulas!Z70)+2),"")))</f>
        <v/>
      </c>
      <c r="Y73" s="121" t="str" cm="1">
        <f t="array" aca="1" ref="Y73" ca="1">IF(OR(Formulas!Z71=0,Formulas!Z71=""),"",HYPERLINK("["&amp;Archivo_Nombre&amp;"]Datos!"&amp;LEFT(SUBSTITUTE(ADDRESS(1,Formulas!Z71+2),"$",""))&amp;Formulas!Y71+1,
IFERROR(INDEX(Datos!$A$2:$K$102,Formulas!Y71,Formulas!Z71+2),"")))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21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IFERROR(INDEX(Datos!$A$2:$K$102,Formulas!AC70,RIGHT(Formulas!AE70)+2),"")))</f>
        <v/>
      </c>
      <c r="AD73" s="121" t="str" cm="1">
        <f t="array" aca="1" ref="AD73" ca="1">IF(OR(Formulas!AE71=0,Formulas!AE71=""),"",HYPERLINK("["&amp;Archivo_Nombre&amp;"]Datos!"&amp;LEFT(SUBSTITUTE(ADDRESS(1,Formulas!AE71+2),"$",""))&amp;Formulas!AD71+1,
IFERROR(INDEX(Datos!$A$2:$K$102,Formulas!AD71,Formulas!AE71+2),"")))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21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IFERROR(INDEX(Datos!$A$2:$K$102,Formulas!AH70,RIGHT(Formulas!AJ70)+2),"")))</f>
        <v/>
      </c>
      <c r="AI73" s="121" t="str" cm="1">
        <f t="array" aca="1" ref="AI73" ca="1">IF(OR(Formulas!AJ71=0,Formulas!AJ71=""),"",HYPERLINK("["&amp;Archivo_Nombre&amp;"]Datos!"&amp;LEFT(SUBSTITUTE(ADDRESS(1,Formulas!AJ71+2),"$",""))&amp;Formulas!AI71+1,
IFERROR(INDEX(Datos!$A$2:$K$102,Formulas!AI71,Formulas!AJ71+2),"")))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21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IFERROR(INDEX(Datos!$A$2:$K$102,Formulas!AM70,RIGHT(Formulas!AO70)+2),"")))</f>
        <v/>
      </c>
      <c r="AN73" s="121" t="str" cm="1">
        <f t="array" aca="1" ref="AN73" ca="1">IF(OR(Formulas!AO71=0,Formulas!AO71=""),"",HYPERLINK("["&amp;Archivo_Nombre&amp;"]Datos!"&amp;LEFT(SUBSTITUTE(ADDRESS(1,Formulas!AO71+2),"$",""))&amp;Formulas!AN71+1,
IFERROR(INDEX(Datos!$A$2:$K$102,Formulas!AN71,Formulas!AO71+2),"")))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21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IFERROR(INDEX(Datos!$A$2:$K$102,Formulas!AR70,RIGHT(Formulas!AT70)+2),"")))</f>
        <v/>
      </c>
      <c r="AS73" s="121" t="str" cm="1">
        <f t="array" aca="1" ref="AS73" ca="1">IF(OR(Formulas!AT71=0,Formulas!AT71=""),"",HYPERLINK("["&amp;Archivo_Nombre&amp;"]Datos!"&amp;LEFT(SUBSTITUTE(ADDRESS(1,Formulas!AT71+2),"$",""))&amp;Formulas!AS71+1,
IFERROR(INDEX(Datos!$A$2:$K$102,Formulas!AS71,Formulas!AT71+2),"")))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21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IFERROR(INDEX(Datos!$A$2:$K$102,Formulas!AW70,RIGHT(Formulas!AY70)+2),"")))</f>
        <v/>
      </c>
      <c r="AX73" s="121" t="str" cm="1">
        <f t="array" aca="1" ref="AX73" ca="1">IF(OR(Formulas!AY71=0,Formulas!AY71=""),"",HYPERLINK("["&amp;Archivo_Nombre&amp;"]Datos!"&amp;LEFT(SUBSTITUTE(ADDRESS(1,Formulas!AY71+2),"$",""))&amp;Formulas!AX71+1,
IFERROR(INDEX(Datos!$A$2:$K$102,Formulas!AX71,Formulas!AY71+2),"")))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21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IFERROR(INDEX(Datos!$A$2:$K$102,Formulas!D71,RIGHT(Formulas!F71)+2),"")))</f>
        <v/>
      </c>
      <c r="E74" s="121" t="str" cm="1">
        <f t="array" aca="1" ref="E74" ca="1">IF(OR(Formulas!F72=0,Formulas!F72=""),"",HYPERLINK("["&amp;Archivo_Nombre&amp;"]Datos!"&amp;LEFT(SUBSTITUTE(ADDRESS(1,Formulas!F72+2),"$",""))&amp;Formulas!E72+1,
IFERROR(INDEX(Datos!$A$2:$K$102,Formulas!E72,Formulas!F72+2),"")))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21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IFERROR(INDEX(Datos!$A$2:$K$102,Formulas!I71,RIGHT(Formulas!K71)+2),"")))</f>
        <v>2 días</v>
      </c>
      <c r="J74" s="121" t="e" cm="1">
        <f t="array" aca="1" ref="J74" ca="1">IF(OR(Formulas!K72=0,Formulas!K72=""),"",HYPERLINK("["&amp;Archivo_Nombre&amp;"]Datos!"&amp;LEFT(SUBSTITUTE(ADDRESS(1,Formulas!K72+2),"$",""))&amp;Formulas!J72+1,
IFERROR(INDEX(Datos!$A$2:$K$102,Formulas!J72,Formulas!K72+2),"")))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21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IFERROR(INDEX(Datos!$A$2:$K$102,Formulas!N71,RIGHT(Formulas!P71)+2),"")))</f>
        <v/>
      </c>
      <c r="O74" s="121" t="str" cm="1">
        <f t="array" aca="1" ref="O74" ca="1">IF(OR(Formulas!P72=0,Formulas!P72=""),"",HYPERLINK("["&amp;Archivo_Nombre&amp;"]Datos!"&amp;LEFT(SUBSTITUTE(ADDRESS(1,Formulas!P72+2),"$",""))&amp;Formulas!O72+1,
IFERROR(INDEX(Datos!$A$2:$K$102,Formulas!O72,Formulas!P72+2),"")))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21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IFERROR(INDEX(Datos!$A$2:$K$102,Formulas!S71,RIGHT(Formulas!U71)+2),"")))</f>
        <v>1 días</v>
      </c>
      <c r="T74" s="121" t="e" cm="1">
        <f t="array" aca="1" ref="T74" ca="1">IF(OR(Formulas!U72=0,Formulas!U72=""),"",HYPERLINK("["&amp;Archivo_Nombre&amp;"]Datos!"&amp;LEFT(SUBSTITUTE(ADDRESS(1,Formulas!U72+2),"$",""))&amp;Formulas!T72+1,
IFERROR(INDEX(Datos!$A$2:$K$102,Formulas!T72,Formulas!U72+2),"")))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21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IFERROR(INDEX(Datos!$A$2:$K$102,Formulas!X71,RIGHT(Formulas!Z71)+2),"")))</f>
        <v/>
      </c>
      <c r="Y74" s="121" t="str" cm="1">
        <f t="array" aca="1" ref="Y74" ca="1">IF(OR(Formulas!Z72=0,Formulas!Z72=""),"",HYPERLINK("["&amp;Archivo_Nombre&amp;"]Datos!"&amp;LEFT(SUBSTITUTE(ADDRESS(1,Formulas!Z72+2),"$",""))&amp;Formulas!Y72+1,
IFERROR(INDEX(Datos!$A$2:$K$102,Formulas!Y72,Formulas!Z72+2),"")))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21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IFERROR(INDEX(Datos!$A$2:$K$102,Formulas!AC71,RIGHT(Formulas!AE71)+2),"")))</f>
        <v/>
      </c>
      <c r="AD74" s="121" t="str" cm="1">
        <f t="array" aca="1" ref="AD74" ca="1">IF(OR(Formulas!AE72=0,Formulas!AE72=""),"",HYPERLINK("["&amp;Archivo_Nombre&amp;"]Datos!"&amp;LEFT(SUBSTITUTE(ADDRESS(1,Formulas!AE72+2),"$",""))&amp;Formulas!AD72+1,
IFERROR(INDEX(Datos!$A$2:$K$102,Formulas!AD72,Formulas!AE72+2),"")))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21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IFERROR(INDEX(Datos!$A$2:$K$102,Formulas!AH71,RIGHT(Formulas!AJ71)+2),"")))</f>
        <v/>
      </c>
      <c r="AI74" s="121" t="str" cm="1">
        <f t="array" aca="1" ref="AI74" ca="1">IF(OR(Formulas!AJ72=0,Formulas!AJ72=""),"",HYPERLINK("["&amp;Archivo_Nombre&amp;"]Datos!"&amp;LEFT(SUBSTITUTE(ADDRESS(1,Formulas!AJ72+2),"$",""))&amp;Formulas!AI72+1,
IFERROR(INDEX(Datos!$A$2:$K$102,Formulas!AI72,Formulas!AJ72+2),"")))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21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IFERROR(INDEX(Datos!$A$2:$K$102,Formulas!AM71,RIGHT(Formulas!AO71)+2),"")))</f>
        <v/>
      </c>
      <c r="AN74" s="121" t="str" cm="1">
        <f t="array" aca="1" ref="AN74" ca="1">IF(OR(Formulas!AO72=0,Formulas!AO72=""),"",HYPERLINK("["&amp;Archivo_Nombre&amp;"]Datos!"&amp;LEFT(SUBSTITUTE(ADDRESS(1,Formulas!AO72+2),"$",""))&amp;Formulas!AN72+1,
IFERROR(INDEX(Datos!$A$2:$K$102,Formulas!AN72,Formulas!AO72+2),"")))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21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IFERROR(INDEX(Datos!$A$2:$K$102,Formulas!AR71,RIGHT(Formulas!AT71)+2),"")))</f>
        <v/>
      </c>
      <c r="AS74" s="121" t="str" cm="1">
        <f t="array" aca="1" ref="AS74" ca="1">IF(OR(Formulas!AT72=0,Formulas!AT72=""),"",HYPERLINK("["&amp;Archivo_Nombre&amp;"]Datos!"&amp;LEFT(SUBSTITUTE(ADDRESS(1,Formulas!AT72+2),"$",""))&amp;Formulas!AS72+1,
IFERROR(INDEX(Datos!$A$2:$K$102,Formulas!AS72,Formulas!AT72+2),"")))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21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IFERROR(INDEX(Datos!$A$2:$K$102,Formulas!AW71,RIGHT(Formulas!AY71)+2),"")))</f>
        <v/>
      </c>
      <c r="AX74" s="121" t="str" cm="1">
        <f t="array" aca="1" ref="AX74" ca="1">IF(OR(Formulas!AY72=0,Formulas!AY72=""),"",HYPERLINK("["&amp;Archivo_Nombre&amp;"]Datos!"&amp;LEFT(SUBSTITUTE(ADDRESS(1,Formulas!AY72+2),"$",""))&amp;Formulas!AX72+1,
IFERROR(INDEX(Datos!$A$2:$K$102,Formulas!AX72,Formulas!AY72+2),"")))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21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IFERROR(INDEX(Datos!$A$2:$K$102,Formulas!D72,RIGHT(Formulas!F72)+2),"")))</f>
        <v/>
      </c>
      <c r="E75" s="121" t="str" cm="1">
        <f t="array" aca="1" ref="E75" ca="1">IF(OR(Formulas!F73=0,Formulas!F73=""),"",HYPERLINK("["&amp;Archivo_Nombre&amp;"]Datos!"&amp;LEFT(SUBSTITUTE(ADDRESS(1,Formulas!F73+2),"$",""))&amp;Formulas!E73+1,
IFERROR(INDEX(Datos!$A$2:$K$102,Formulas!E73,Formulas!F73+2),"")))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21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IFERROR(INDEX(Datos!$A$2:$K$102,Formulas!I72,RIGHT(Formulas!K72)+2),"")))</f>
        <v>0 días</v>
      </c>
      <c r="J75" s="121" t="e" cm="1">
        <f t="array" aca="1" ref="J75" ca="1">IF(OR(Formulas!K73=0,Formulas!K73=""),"",HYPERLINK("["&amp;Archivo_Nombre&amp;"]Datos!"&amp;LEFT(SUBSTITUTE(ADDRESS(1,Formulas!K73+2),"$",""))&amp;Formulas!J73+1,
IFERROR(INDEX(Datos!$A$2:$K$102,Formulas!J73,Formulas!K73+2),"")))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21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IFERROR(INDEX(Datos!$A$2:$K$102,Formulas!N72,RIGHT(Formulas!P72)+2),"")))</f>
        <v/>
      </c>
      <c r="O75" s="121" t="str" cm="1">
        <f t="array" aca="1" ref="O75" ca="1">IF(OR(Formulas!P73=0,Formulas!P73=""),"",HYPERLINK("["&amp;Archivo_Nombre&amp;"]Datos!"&amp;LEFT(SUBSTITUTE(ADDRESS(1,Formulas!P73+2),"$",""))&amp;Formulas!O73+1,
IFERROR(INDEX(Datos!$A$2:$K$102,Formulas!O73,Formulas!P73+2),"")))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21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IFERROR(INDEX(Datos!$A$2:$K$102,Formulas!S72,RIGHT(Formulas!U72)+2),"")))</f>
        <v>0 días</v>
      </c>
      <c r="T75" s="121" t="e" cm="1">
        <f t="array" aca="1" ref="T75" ca="1">IF(OR(Formulas!U73=0,Formulas!U73=""),"",HYPERLINK("["&amp;Archivo_Nombre&amp;"]Datos!"&amp;LEFT(SUBSTITUTE(ADDRESS(1,Formulas!U73+2),"$",""))&amp;Formulas!T73+1,
IFERROR(INDEX(Datos!$A$2:$K$102,Formulas!T73,Formulas!U73+2),"")))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21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IFERROR(INDEX(Datos!$A$2:$K$102,Formulas!X72,RIGHT(Formulas!Z72)+2),"")))</f>
        <v/>
      </c>
      <c r="Y75" s="121" t="str" cm="1">
        <f t="array" aca="1" ref="Y75" ca="1">IF(OR(Formulas!Z73=0,Formulas!Z73=""),"",HYPERLINK("["&amp;Archivo_Nombre&amp;"]Datos!"&amp;LEFT(SUBSTITUTE(ADDRESS(1,Formulas!Z73+2),"$",""))&amp;Formulas!Y73+1,
IFERROR(INDEX(Datos!$A$2:$K$102,Formulas!Y73,Formulas!Z73+2),"")))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21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IFERROR(INDEX(Datos!$A$2:$K$102,Formulas!AC72,RIGHT(Formulas!AE72)+2),"")))</f>
        <v/>
      </c>
      <c r="AD75" s="121" t="str" cm="1">
        <f t="array" aca="1" ref="AD75" ca="1">IF(OR(Formulas!AE73=0,Formulas!AE73=""),"",HYPERLINK("["&amp;Archivo_Nombre&amp;"]Datos!"&amp;LEFT(SUBSTITUTE(ADDRESS(1,Formulas!AE73+2),"$",""))&amp;Formulas!AD73+1,
IFERROR(INDEX(Datos!$A$2:$K$102,Formulas!AD73,Formulas!AE73+2),"")))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21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IFERROR(INDEX(Datos!$A$2:$K$102,Formulas!AH72,RIGHT(Formulas!AJ72)+2),"")))</f>
        <v/>
      </c>
      <c r="AI75" s="121" t="str" cm="1">
        <f t="array" aca="1" ref="AI75" ca="1">IF(OR(Formulas!AJ73=0,Formulas!AJ73=""),"",HYPERLINK("["&amp;Archivo_Nombre&amp;"]Datos!"&amp;LEFT(SUBSTITUTE(ADDRESS(1,Formulas!AJ73+2),"$",""))&amp;Formulas!AI73+1,
IFERROR(INDEX(Datos!$A$2:$K$102,Formulas!AI73,Formulas!AJ73+2),"")))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21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IFERROR(INDEX(Datos!$A$2:$K$102,Formulas!AM72,RIGHT(Formulas!AO72)+2),"")))</f>
        <v/>
      </c>
      <c r="AN75" s="121" t="str" cm="1">
        <f t="array" aca="1" ref="AN75" ca="1">IF(OR(Formulas!AO73=0,Formulas!AO73=""),"",HYPERLINK("["&amp;Archivo_Nombre&amp;"]Datos!"&amp;LEFT(SUBSTITUTE(ADDRESS(1,Formulas!AO73+2),"$",""))&amp;Formulas!AN73+1,
IFERROR(INDEX(Datos!$A$2:$K$102,Formulas!AN73,Formulas!AO73+2),"")))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21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IFERROR(INDEX(Datos!$A$2:$K$102,Formulas!AR72,RIGHT(Formulas!AT72)+2),"")))</f>
        <v/>
      </c>
      <c r="AS75" s="121" t="str" cm="1">
        <f t="array" aca="1" ref="AS75" ca="1">IF(OR(Formulas!AT73=0,Formulas!AT73=""),"",HYPERLINK("["&amp;Archivo_Nombre&amp;"]Datos!"&amp;LEFT(SUBSTITUTE(ADDRESS(1,Formulas!AT73+2),"$",""))&amp;Formulas!AS73+1,
IFERROR(INDEX(Datos!$A$2:$K$102,Formulas!AS73,Formulas!AT73+2),"")))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21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IFERROR(INDEX(Datos!$A$2:$K$102,Formulas!AW72,RIGHT(Formulas!AY72)+2),"")))</f>
        <v/>
      </c>
      <c r="AX75" s="121" t="str" cm="1">
        <f t="array" aca="1" ref="AX75" ca="1">IF(OR(Formulas!AY73=0,Formulas!AY73=""),"",HYPERLINK("["&amp;Archivo_Nombre&amp;"]Datos!"&amp;LEFT(SUBSTITUTE(ADDRESS(1,Formulas!AY73+2),"$",""))&amp;Formulas!AX73+1,
IFERROR(INDEX(Datos!$A$2:$K$102,Formulas!AX73,Formulas!AY73+2),"")))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21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IFERROR(INDEX(Datos!$A$2:$K$102,Formulas!D73,RIGHT(Formulas!F73)+2),"")))</f>
        <v/>
      </c>
      <c r="E76" s="121" t="str" cm="1">
        <f t="array" aca="1" ref="E76" ca="1">IF(OR(Formulas!F74=0,Formulas!F74=""),"",HYPERLINK("["&amp;Archivo_Nombre&amp;"]Datos!"&amp;LEFT(SUBSTITUTE(ADDRESS(1,Formulas!F74+2),"$",""))&amp;Formulas!E74+1,
IFERROR(INDEX(Datos!$A$2:$K$102,Formulas!E74,Formulas!F74+2),"")))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21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IFERROR(INDEX(Datos!$A$2:$K$102,Formulas!I73,RIGHT(Formulas!K73)+2),"")))</f>
        <v>Madellyn Tasipanta</v>
      </c>
      <c r="J76" s="121" t="str" cm="1">
        <f t="array" aca="1" ref="J76" ca="1">IF(OR(Formulas!K74=0,Formulas!K74=""),"",HYPERLINK("["&amp;Archivo_Nombre&amp;"]Datos!"&amp;LEFT(SUBSTITUTE(ADDRESS(1,Formulas!K74+2),"$",""))&amp;Formulas!J74+1,
IFERROR(INDEX(Datos!$A$2:$K$102,Formulas!J74,Formulas!K74+2),"")))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21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IFERROR(INDEX(Datos!$A$2:$K$102,Formulas!N73,RIGHT(Formulas!P73)+2),"")))</f>
        <v/>
      </c>
      <c r="O76" s="121" t="str" cm="1">
        <f t="array" aca="1" ref="O76" ca="1">IF(OR(Formulas!P74=0,Formulas!P74=""),"",HYPERLINK("["&amp;Archivo_Nombre&amp;"]Datos!"&amp;LEFT(SUBSTITUTE(ADDRESS(1,Formulas!P74+2),"$",""))&amp;Formulas!O74+1,
IFERROR(INDEX(Datos!$A$2:$K$102,Formulas!O74,Formulas!P74+2),"")))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21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IFERROR(INDEX(Datos!$A$2:$K$102,Formulas!S73,RIGHT(Formulas!U73)+2),"")))</f>
        <v>Madellyn Tasipanta</v>
      </c>
      <c r="T76" s="121" t="str" cm="1">
        <f t="array" aca="1" ref="T76" ca="1">IF(OR(Formulas!U74=0,Formulas!U74=""),"",HYPERLINK("["&amp;Archivo_Nombre&amp;"]Datos!"&amp;LEFT(SUBSTITUTE(ADDRESS(1,Formulas!U74+2),"$",""))&amp;Formulas!T74+1,
IFERROR(INDEX(Datos!$A$2:$K$102,Formulas!T74,Formulas!U74+2),"")))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21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IFERROR(INDEX(Datos!$A$2:$K$102,Formulas!X73,RIGHT(Formulas!Z73)+2),"")))</f>
        <v/>
      </c>
      <c r="Y76" s="121" t="str" cm="1">
        <f t="array" aca="1" ref="Y76" ca="1">IF(OR(Formulas!Z74=0,Formulas!Z74=""),"",HYPERLINK("["&amp;Archivo_Nombre&amp;"]Datos!"&amp;LEFT(SUBSTITUTE(ADDRESS(1,Formulas!Z74+2),"$",""))&amp;Formulas!Y74+1,
IFERROR(INDEX(Datos!$A$2:$K$102,Formulas!Y74,Formulas!Z74+2),"")))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21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IFERROR(INDEX(Datos!$A$2:$K$102,Formulas!AC73,RIGHT(Formulas!AE73)+2),"")))</f>
        <v/>
      </c>
      <c r="AD76" s="121" t="str" cm="1">
        <f t="array" aca="1" ref="AD76" ca="1">IF(OR(Formulas!AE74=0,Formulas!AE74=""),"",HYPERLINK("["&amp;Archivo_Nombre&amp;"]Datos!"&amp;LEFT(SUBSTITUTE(ADDRESS(1,Formulas!AE74+2),"$",""))&amp;Formulas!AD74+1,
IFERROR(INDEX(Datos!$A$2:$K$102,Formulas!AD74,Formulas!AE74+2),"")))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21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IFERROR(INDEX(Datos!$A$2:$K$102,Formulas!AH73,RIGHT(Formulas!AJ73)+2),"")))</f>
        <v/>
      </c>
      <c r="AI76" s="121" t="str" cm="1">
        <f t="array" aca="1" ref="AI76" ca="1">IF(OR(Formulas!AJ74=0,Formulas!AJ74=""),"",HYPERLINK("["&amp;Archivo_Nombre&amp;"]Datos!"&amp;LEFT(SUBSTITUTE(ADDRESS(1,Formulas!AJ74+2),"$",""))&amp;Formulas!AI74+1,
IFERROR(INDEX(Datos!$A$2:$K$102,Formulas!AI74,Formulas!AJ74+2),"")))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21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IFERROR(INDEX(Datos!$A$2:$K$102,Formulas!AM73,RIGHT(Formulas!AO73)+2),"")))</f>
        <v/>
      </c>
      <c r="AN76" s="121" t="str" cm="1">
        <f t="array" aca="1" ref="AN76" ca="1">IF(OR(Formulas!AO74=0,Formulas!AO74=""),"",HYPERLINK("["&amp;Archivo_Nombre&amp;"]Datos!"&amp;LEFT(SUBSTITUTE(ADDRESS(1,Formulas!AO74+2),"$",""))&amp;Formulas!AN74+1,
IFERROR(INDEX(Datos!$A$2:$K$102,Formulas!AN74,Formulas!AO74+2),"")))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21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IFERROR(INDEX(Datos!$A$2:$K$102,Formulas!AR73,RIGHT(Formulas!AT73)+2),"")))</f>
        <v/>
      </c>
      <c r="AS76" s="121" t="str" cm="1">
        <f t="array" aca="1" ref="AS76" ca="1">IF(OR(Formulas!AT74=0,Formulas!AT74=""),"",HYPERLINK("["&amp;Archivo_Nombre&amp;"]Datos!"&amp;LEFT(SUBSTITUTE(ADDRESS(1,Formulas!AT74+2),"$",""))&amp;Formulas!AS74+1,
IFERROR(INDEX(Datos!$A$2:$K$102,Formulas!AS74,Formulas!AT74+2),"")))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21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IFERROR(INDEX(Datos!$A$2:$K$102,Formulas!AW73,RIGHT(Formulas!AY73)+2),"")))</f>
        <v/>
      </c>
      <c r="AX76" s="121" t="str" cm="1">
        <f t="array" aca="1" ref="AX76" ca="1">IF(OR(Formulas!AY74=0,Formulas!AY74=""),"",HYPERLINK("["&amp;Archivo_Nombre&amp;"]Datos!"&amp;LEFT(SUBSTITUTE(ADDRESS(1,Formulas!AY74+2),"$",""))&amp;Formulas!AX74+1,
IFERROR(INDEX(Datos!$A$2:$K$102,Formulas!AX74,Formulas!AY74+2),"")))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21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IFERROR(INDEX(Datos!$A$2:$K$102,Formulas!D74,RIGHT(Formulas!F74)+2),"")))</f>
        <v/>
      </c>
      <c r="E77" s="121" t="str" cm="1">
        <f t="array" aca="1" ref="E77" ca="1">IF(OR(Formulas!F75=0,Formulas!F75=""),"",HYPERLINK("["&amp;Archivo_Nombre&amp;"]Datos!"&amp;LEFT(SUBSTITUTE(ADDRESS(1,Formulas!F75+2),"$",""))&amp;Formulas!E75+1,
IFERROR(INDEX(Datos!$A$2:$K$102,Formulas!E75,Formulas!F75+2),"")))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21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IFERROR(INDEX(Datos!$A$2:$K$102,Formulas!I74,RIGHT(Formulas!K74)+2),"")))</f>
        <v/>
      </c>
      <c r="J77" s="121" t="e" cm="1">
        <f t="array" aca="1" ref="J77" ca="1">IF(OR(Formulas!K75=0,Formulas!K75=""),"",HYPERLINK("["&amp;Archivo_Nombre&amp;"]Datos!"&amp;LEFT(SUBSTITUTE(ADDRESS(1,Formulas!K75+2),"$",""))&amp;Formulas!J75+1,
IFERROR(INDEX(Datos!$A$2:$K$102,Formulas!J75,Formulas!K75+2),"")))</f>
        <v>#VALUE!</v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21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IFERROR(INDEX(Datos!$A$2:$K$102,Formulas!N74,RIGHT(Formulas!P74)+2),"")))</f>
        <v/>
      </c>
      <c r="O77" s="121" t="str" cm="1">
        <f t="array" aca="1" ref="O77" ca="1">IF(OR(Formulas!P75=0,Formulas!P75=""),"",HYPERLINK("["&amp;Archivo_Nombre&amp;"]Datos!"&amp;LEFT(SUBSTITUTE(ADDRESS(1,Formulas!P75+2),"$",""))&amp;Formulas!O75+1,
IFERROR(INDEX(Datos!$A$2:$K$102,Formulas!O75,Formulas!P75+2),"")))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21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IFERROR(INDEX(Datos!$A$2:$K$102,Formulas!S74,RIGHT(Formulas!U74)+2),"")))</f>
        <v/>
      </c>
      <c r="T77" s="121" t="e" cm="1">
        <f t="array" aca="1" ref="T77" ca="1">IF(OR(Formulas!U75=0,Formulas!U75=""),"",HYPERLINK("["&amp;Archivo_Nombre&amp;"]Datos!"&amp;LEFT(SUBSTITUTE(ADDRESS(1,Formulas!U75+2),"$",""))&amp;Formulas!T75+1,
IFERROR(INDEX(Datos!$A$2:$K$102,Formulas!T75,Formulas!U75+2),"")))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21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IFERROR(INDEX(Datos!$A$2:$K$102,Formulas!X74,RIGHT(Formulas!Z74)+2),"")))</f>
        <v/>
      </c>
      <c r="Y77" s="121" t="str" cm="1">
        <f t="array" aca="1" ref="Y77" ca="1">IF(OR(Formulas!Z75=0,Formulas!Z75=""),"",HYPERLINK("["&amp;Archivo_Nombre&amp;"]Datos!"&amp;LEFT(SUBSTITUTE(ADDRESS(1,Formulas!Z75+2),"$",""))&amp;Formulas!Y75+1,
IFERROR(INDEX(Datos!$A$2:$K$102,Formulas!Y75,Formulas!Z75+2),"")))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21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IFERROR(INDEX(Datos!$A$2:$K$102,Formulas!AC74,RIGHT(Formulas!AE74)+2),"")))</f>
        <v/>
      </c>
      <c r="AD77" s="121" t="str" cm="1">
        <f t="array" aca="1" ref="AD77" ca="1">IF(OR(Formulas!AE75=0,Formulas!AE75=""),"",HYPERLINK("["&amp;Archivo_Nombre&amp;"]Datos!"&amp;LEFT(SUBSTITUTE(ADDRESS(1,Formulas!AE75+2),"$",""))&amp;Formulas!AD75+1,
IFERROR(INDEX(Datos!$A$2:$K$102,Formulas!AD75,Formulas!AE75+2),"")))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21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IFERROR(INDEX(Datos!$A$2:$K$102,Formulas!AH74,RIGHT(Formulas!AJ74)+2),"")))</f>
        <v/>
      </c>
      <c r="AI77" s="121" t="str" cm="1">
        <f t="array" aca="1" ref="AI77" ca="1">IF(OR(Formulas!AJ75=0,Formulas!AJ75=""),"",HYPERLINK("["&amp;Archivo_Nombre&amp;"]Datos!"&amp;LEFT(SUBSTITUTE(ADDRESS(1,Formulas!AJ75+2),"$",""))&amp;Formulas!AI75+1,
IFERROR(INDEX(Datos!$A$2:$K$102,Formulas!AI75,Formulas!AJ75+2),"")))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21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IFERROR(INDEX(Datos!$A$2:$K$102,Formulas!AM74,RIGHT(Formulas!AO74)+2),"")))</f>
        <v/>
      </c>
      <c r="AN77" s="121" t="str" cm="1">
        <f t="array" aca="1" ref="AN77" ca="1">IF(OR(Formulas!AO75=0,Formulas!AO75=""),"",HYPERLINK("["&amp;Archivo_Nombre&amp;"]Datos!"&amp;LEFT(SUBSTITUTE(ADDRESS(1,Formulas!AO75+2),"$",""))&amp;Formulas!AN75+1,
IFERROR(INDEX(Datos!$A$2:$K$102,Formulas!AN75,Formulas!AO75+2),"")))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21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IFERROR(INDEX(Datos!$A$2:$K$102,Formulas!AR74,RIGHT(Formulas!AT74)+2),"")))</f>
        <v/>
      </c>
      <c r="AS77" s="121" t="str" cm="1">
        <f t="array" aca="1" ref="AS77" ca="1">IF(OR(Formulas!AT75=0,Formulas!AT75=""),"",HYPERLINK("["&amp;Archivo_Nombre&amp;"]Datos!"&amp;LEFT(SUBSTITUTE(ADDRESS(1,Formulas!AT75+2),"$",""))&amp;Formulas!AS75+1,
IFERROR(INDEX(Datos!$A$2:$K$102,Formulas!AS75,Formulas!AT75+2),"")))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21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IFERROR(INDEX(Datos!$A$2:$K$102,Formulas!AW74,RIGHT(Formulas!AY74)+2),"")))</f>
        <v/>
      </c>
      <c r="AX77" s="121" t="str" cm="1">
        <f t="array" aca="1" ref="AX77" ca="1">IF(OR(Formulas!AY75=0,Formulas!AY75=""),"",HYPERLINK("["&amp;Archivo_Nombre&amp;"]Datos!"&amp;LEFT(SUBSTITUTE(ADDRESS(1,Formulas!AY75+2),"$",""))&amp;Formulas!AX75+1,
IFERROR(INDEX(Datos!$A$2:$K$102,Formulas!AX75,Formulas!AY75+2),"")))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21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IFERROR(INDEX(Datos!$A$2:$K$102,Formulas!D75,RIGHT(Formulas!F75)+2),"")))</f>
        <v/>
      </c>
      <c r="E78" s="121" t="str" cm="1">
        <f t="array" aca="1" ref="E78" ca="1">IF(OR(Formulas!F76=0,Formulas!F76=""),"",HYPERLINK("["&amp;Archivo_Nombre&amp;"]Datos!"&amp;LEFT(SUBSTITUTE(ADDRESS(1,Formulas!F76+2),"$",""))&amp;Formulas!E76+1,
IFERROR(INDEX(Datos!$A$2:$K$102,Formulas!E76,Formulas!F76+2),"")))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>Tarea 61:</v>
      </c>
      <c r="I78" s="121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IFERROR(INDEX(Datos!$A$2:$K$102,Formulas!I75,RIGHT(Formulas!K75)+2),"")))</f>
        <v xml:space="preserve">REQ007 Guardar Contratos </v>
      </c>
      <c r="J78" s="121" t="e" cm="1">
        <f t="array" aca="1" ref="J78" ca="1">IF(OR(Formulas!K76=0,Formulas!K76=""),"",HYPERLINK("["&amp;Archivo_Nombre&amp;"]Datos!"&amp;LEFT(SUBSTITUTE(ADDRESS(1,Formulas!K76+2),"$",""))&amp;Formulas!J76+1,
IFERROR(INDEX(Datos!$A$2:$K$102,Formulas!J76,Formulas!K76+2),"")))</f>
        <v>#VALUE!</v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21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IFERROR(INDEX(Datos!$A$2:$K$102,Formulas!N75,RIGHT(Formulas!P75)+2),"")))</f>
        <v/>
      </c>
      <c r="O78" s="121" t="str" cm="1">
        <f t="array" aca="1" ref="O78" ca="1">IF(OR(Formulas!P76=0,Formulas!P76=""),"",HYPERLINK("["&amp;Archivo_Nombre&amp;"]Datos!"&amp;LEFT(SUBSTITUTE(ADDRESS(1,Formulas!P76+2),"$",""))&amp;Formulas!O76+1,
IFERROR(INDEX(Datos!$A$2:$K$102,Formulas!O76,Formulas!P76+2),"")))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50:</v>
      </c>
      <c r="S78" s="121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IFERROR(INDEX(Datos!$A$2:$K$102,Formulas!S75,RIGHT(Formulas!U75)+2),"")))</f>
        <v>Revisión de caja negra y caja blanca Sprint0, Sprint1</v>
      </c>
      <c r="T78" s="121" t="e" cm="1">
        <f t="array" aca="1" ref="T78" ca="1">IF(OR(Formulas!U76=0,Formulas!U76=""),"",HYPERLINK("["&amp;Archivo_Nombre&amp;"]Datos!"&amp;LEFT(SUBSTITUTE(ADDRESS(1,Formulas!U76+2),"$",""))&amp;Formulas!T76+1,
IFERROR(INDEX(Datos!$A$2:$K$102,Formulas!T76,Formulas!U76+2),"")))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21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IFERROR(INDEX(Datos!$A$2:$K$102,Formulas!X75,RIGHT(Formulas!Z75)+2),"")))</f>
        <v/>
      </c>
      <c r="Y78" s="121" t="str" cm="1">
        <f t="array" aca="1" ref="Y78" ca="1">IF(OR(Formulas!Z76=0,Formulas!Z76=""),"",HYPERLINK("["&amp;Archivo_Nombre&amp;"]Datos!"&amp;LEFT(SUBSTITUTE(ADDRESS(1,Formulas!Z76+2),"$",""))&amp;Formulas!Y76+1,
IFERROR(INDEX(Datos!$A$2:$K$102,Formulas!Y76,Formulas!Z76+2),"")))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21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IFERROR(INDEX(Datos!$A$2:$K$102,Formulas!AC75,RIGHT(Formulas!AE75)+2),"")))</f>
        <v/>
      </c>
      <c r="AD78" s="121" t="str" cm="1">
        <f t="array" aca="1" ref="AD78" ca="1">IF(OR(Formulas!AE76=0,Formulas!AE76=""),"",HYPERLINK("["&amp;Archivo_Nombre&amp;"]Datos!"&amp;LEFT(SUBSTITUTE(ADDRESS(1,Formulas!AE76+2),"$",""))&amp;Formulas!AD76+1,
IFERROR(INDEX(Datos!$A$2:$K$102,Formulas!AD76,Formulas!AE76+2),"")))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21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IFERROR(INDEX(Datos!$A$2:$K$102,Formulas!AH75,RIGHT(Formulas!AJ75)+2),"")))</f>
        <v/>
      </c>
      <c r="AI78" s="121" t="str" cm="1">
        <f t="array" aca="1" ref="AI78" ca="1">IF(OR(Formulas!AJ76=0,Formulas!AJ76=""),"",HYPERLINK("["&amp;Archivo_Nombre&amp;"]Datos!"&amp;LEFT(SUBSTITUTE(ADDRESS(1,Formulas!AJ76+2),"$",""))&amp;Formulas!AI76+1,
IFERROR(INDEX(Datos!$A$2:$K$102,Formulas!AI76,Formulas!AJ76+2),"")))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21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IFERROR(INDEX(Datos!$A$2:$K$102,Formulas!AM75,RIGHT(Formulas!AO75)+2),"")))</f>
        <v/>
      </c>
      <c r="AN78" s="121" t="str" cm="1">
        <f t="array" aca="1" ref="AN78" ca="1">IF(OR(Formulas!AO76=0,Formulas!AO76=""),"",HYPERLINK("["&amp;Archivo_Nombre&amp;"]Datos!"&amp;LEFT(SUBSTITUTE(ADDRESS(1,Formulas!AO76+2),"$",""))&amp;Formulas!AN76+1,
IFERROR(INDEX(Datos!$A$2:$K$102,Formulas!AN76,Formulas!AO76+2),"")))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21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IFERROR(INDEX(Datos!$A$2:$K$102,Formulas!AR75,RIGHT(Formulas!AT75)+2),"")))</f>
        <v/>
      </c>
      <c r="AS78" s="121" t="str" cm="1">
        <f t="array" aca="1" ref="AS78" ca="1">IF(OR(Formulas!AT76=0,Formulas!AT76=""),"",HYPERLINK("["&amp;Archivo_Nombre&amp;"]Datos!"&amp;LEFT(SUBSTITUTE(ADDRESS(1,Formulas!AT76+2),"$",""))&amp;Formulas!AS76+1,
IFERROR(INDEX(Datos!$A$2:$K$102,Formulas!AS76,Formulas!AT76+2),"")))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21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IFERROR(INDEX(Datos!$A$2:$K$102,Formulas!AW75,RIGHT(Formulas!AY75)+2),"")))</f>
        <v/>
      </c>
      <c r="AX78" s="121" t="str" cm="1">
        <f t="array" aca="1" ref="AX78" ca="1">IF(OR(Formulas!AY76=0,Formulas!AY76=""),"",HYPERLINK("["&amp;Archivo_Nombre&amp;"]Datos!"&amp;LEFT(SUBSTITUTE(ADDRESS(1,Formulas!AY76+2),"$",""))&amp;Formulas!AX76+1,
IFERROR(INDEX(Datos!$A$2:$K$102,Formulas!AX76,Formulas!AY76+2),"")))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21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IFERROR(INDEX(Datos!$A$2:$K$102,Formulas!D76,RIGHT(Formulas!F76)+2),"")))</f>
        <v/>
      </c>
      <c r="E79" s="121" t="str" cm="1">
        <f t="array" aca="1" ref="E79" ca="1">IF(OR(Formulas!F77=0,Formulas!F77=""),"",HYPERLINK("["&amp;Archivo_Nombre&amp;"]Datos!"&amp;LEFT(SUBSTITUTE(ADDRESS(1,Formulas!F77+2),"$",""))&amp;Formulas!E77+1,
IFERROR(INDEX(Datos!$A$2:$K$102,Formulas!E77,Formulas!F77+2),"")))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>Descripción:</v>
      </c>
      <c r="I79" s="121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IFERROR(INDEX(Datos!$A$2:$K$102,Formulas!I76,RIGHT(Formulas!K76)+2),"")))</f>
        <v>Guardar contratos dentro del sistema</v>
      </c>
      <c r="J79" s="121" t="e" cm="1">
        <f t="array" aca="1" ref="J79" ca="1">IF(OR(Formulas!K77=0,Formulas!K77=""),"",HYPERLINK("["&amp;Archivo_Nombre&amp;"]Datos!"&amp;LEFT(SUBSTITUTE(ADDRESS(1,Formulas!K77+2),"$",""))&amp;Formulas!J77+1,
IFERROR(INDEX(Datos!$A$2:$K$102,Formulas!J77,Formulas!K77+2),"")))</f>
        <v>#VALUE!</v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21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IFERROR(INDEX(Datos!$A$2:$K$102,Formulas!N76,RIGHT(Formulas!P76)+2),"")))</f>
        <v/>
      </c>
      <c r="O79" s="121" t="str" cm="1">
        <f t="array" aca="1" ref="O79" ca="1">IF(OR(Formulas!P77=0,Formulas!P77=""),"",HYPERLINK("["&amp;Archivo_Nombre&amp;"]Datos!"&amp;LEFT(SUBSTITUTE(ADDRESS(1,Formulas!P77+2),"$",""))&amp;Formulas!O77+1,
IFERROR(INDEX(Datos!$A$2:$K$102,Formulas!O77,Formulas!P77+2),"")))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21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IFERROR(INDEX(Datos!$A$2:$K$102,Formulas!S76,RIGHT(Formulas!U76)+2),"")))</f>
        <v>Revisión por parte de la ingeniera guía del proyecto</v>
      </c>
      <c r="T79" s="121" t="e" cm="1">
        <f t="array" aca="1" ref="T79" ca="1">IF(OR(Formulas!U77=0,Formulas!U77=""),"",HYPERLINK("["&amp;Archivo_Nombre&amp;"]Datos!"&amp;LEFT(SUBSTITUTE(ADDRESS(1,Formulas!U77+2),"$",""))&amp;Formulas!T77+1,
IFERROR(INDEX(Datos!$A$2:$K$102,Formulas!T77,Formulas!U77+2),"")))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21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IFERROR(INDEX(Datos!$A$2:$K$102,Formulas!X76,RIGHT(Formulas!Z76)+2),"")))</f>
        <v/>
      </c>
      <c r="Y79" s="121" t="str" cm="1">
        <f t="array" aca="1" ref="Y79" ca="1">IF(OR(Formulas!Z77=0,Formulas!Z77=""),"",HYPERLINK("["&amp;Archivo_Nombre&amp;"]Datos!"&amp;LEFT(SUBSTITUTE(ADDRESS(1,Formulas!Z77+2),"$",""))&amp;Formulas!Y77+1,
IFERROR(INDEX(Datos!$A$2:$K$102,Formulas!Y77,Formulas!Z77+2),"")))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21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IFERROR(INDEX(Datos!$A$2:$K$102,Formulas!AC76,RIGHT(Formulas!AE76)+2),"")))</f>
        <v/>
      </c>
      <c r="AD79" s="121" t="str" cm="1">
        <f t="array" aca="1" ref="AD79" ca="1">IF(OR(Formulas!AE77=0,Formulas!AE77=""),"",HYPERLINK("["&amp;Archivo_Nombre&amp;"]Datos!"&amp;LEFT(SUBSTITUTE(ADDRESS(1,Formulas!AE77+2),"$",""))&amp;Formulas!AD77+1,
IFERROR(INDEX(Datos!$A$2:$K$102,Formulas!AD77,Formulas!AE77+2),"")))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21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IFERROR(INDEX(Datos!$A$2:$K$102,Formulas!AH76,RIGHT(Formulas!AJ76)+2),"")))</f>
        <v/>
      </c>
      <c r="AI79" s="121" t="str" cm="1">
        <f t="array" aca="1" ref="AI79" ca="1">IF(OR(Formulas!AJ77=0,Formulas!AJ77=""),"",HYPERLINK("["&amp;Archivo_Nombre&amp;"]Datos!"&amp;LEFT(SUBSTITUTE(ADDRESS(1,Formulas!AJ77+2),"$",""))&amp;Formulas!AI77+1,
IFERROR(INDEX(Datos!$A$2:$K$102,Formulas!AI77,Formulas!AJ77+2),"")))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21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IFERROR(INDEX(Datos!$A$2:$K$102,Formulas!AM76,RIGHT(Formulas!AO76)+2),"")))</f>
        <v/>
      </c>
      <c r="AN79" s="121" t="str" cm="1">
        <f t="array" aca="1" ref="AN79" ca="1">IF(OR(Formulas!AO77=0,Formulas!AO77=""),"",HYPERLINK("["&amp;Archivo_Nombre&amp;"]Datos!"&amp;LEFT(SUBSTITUTE(ADDRESS(1,Formulas!AO77+2),"$",""))&amp;Formulas!AN77+1,
IFERROR(INDEX(Datos!$A$2:$K$102,Formulas!AN77,Formulas!AO77+2),"")))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21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IFERROR(INDEX(Datos!$A$2:$K$102,Formulas!AR76,RIGHT(Formulas!AT76)+2),"")))</f>
        <v/>
      </c>
      <c r="AS79" s="121" t="str" cm="1">
        <f t="array" aca="1" ref="AS79" ca="1">IF(OR(Formulas!AT77=0,Formulas!AT77=""),"",HYPERLINK("["&amp;Archivo_Nombre&amp;"]Datos!"&amp;LEFT(SUBSTITUTE(ADDRESS(1,Formulas!AT77+2),"$",""))&amp;Formulas!AS77+1,
IFERROR(INDEX(Datos!$A$2:$K$102,Formulas!AS77,Formulas!AT77+2),"")))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21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IFERROR(INDEX(Datos!$A$2:$K$102,Formulas!AW76,RIGHT(Formulas!AY76)+2),"")))</f>
        <v/>
      </c>
      <c r="AX79" s="121" t="str" cm="1">
        <f t="array" aca="1" ref="AX79" ca="1">IF(OR(Formulas!AY77=0,Formulas!AY77=""),"",HYPERLINK("["&amp;Archivo_Nombre&amp;"]Datos!"&amp;LEFT(SUBSTITUTE(ADDRESS(1,Formulas!AY77+2),"$",""))&amp;Formulas!AX77+1,
IFERROR(INDEX(Datos!$A$2:$K$102,Formulas!AX77,Formulas!AY77+2),"")))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21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IFERROR(INDEX(Datos!$A$2:$K$102,Formulas!D77,RIGHT(Formulas!F77)+2),"")))</f>
        <v/>
      </c>
      <c r="E80" s="121" t="str" cm="1">
        <f t="array" aca="1" ref="E80" ca="1">IF(OR(Formulas!F78=0,Formulas!F78=""),"",HYPERLINK("["&amp;Archivo_Nombre&amp;"]Datos!"&amp;LEFT(SUBSTITUTE(ADDRESS(1,Formulas!F78+2),"$",""))&amp;Formulas!E78+1,
IFERROR(INDEX(Datos!$A$2:$K$102,Formulas!E78,Formulas!F78+2),"")))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>Inicio:</v>
      </c>
      <c r="I80" s="121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IFERROR(INDEX(Datos!$A$2:$K$102,Formulas!I77,RIGHT(Formulas!K77)+2),"")))</f>
        <v>46000</v>
      </c>
      <c r="J80" s="121" t="e" cm="1">
        <f t="array" aca="1" ref="J80" ca="1">IF(OR(Formulas!K78=0,Formulas!K78=""),"",HYPERLINK("["&amp;Archivo_Nombre&amp;"]Datos!"&amp;LEFT(SUBSTITUTE(ADDRESS(1,Formulas!K78+2),"$",""))&amp;Formulas!J78+1,
IFERROR(INDEX(Datos!$A$2:$K$102,Formulas!J78,Formulas!K78+2),"")))</f>
        <v>#VALUE!</v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21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IFERROR(INDEX(Datos!$A$2:$K$102,Formulas!N77,RIGHT(Formulas!P77)+2),"")))</f>
        <v/>
      </c>
      <c r="O80" s="121" t="str" cm="1">
        <f t="array" aca="1" ref="O80" ca="1">IF(OR(Formulas!P78=0,Formulas!P78=""),"",HYPERLINK("["&amp;Archivo_Nombre&amp;"]Datos!"&amp;LEFT(SUBSTITUTE(ADDRESS(1,Formulas!P78+2),"$",""))&amp;Formulas!O78+1,
IFERROR(INDEX(Datos!$A$2:$K$102,Formulas!O78,Formulas!P78+2),"")))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21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IFERROR(INDEX(Datos!$A$2:$K$102,Formulas!S77,RIGHT(Formulas!U77)+2),"")))</f>
        <v>46007</v>
      </c>
      <c r="T80" s="121" t="e" cm="1">
        <f t="array" aca="1" ref="T80" ca="1">IF(OR(Formulas!U78=0,Formulas!U78=""),"",HYPERLINK("["&amp;Archivo_Nombre&amp;"]Datos!"&amp;LEFT(SUBSTITUTE(ADDRESS(1,Formulas!U78+2),"$",""))&amp;Formulas!T78+1,
IFERROR(INDEX(Datos!$A$2:$K$102,Formulas!T78,Formulas!U78+2),"")))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21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IFERROR(INDEX(Datos!$A$2:$K$102,Formulas!X77,RIGHT(Formulas!Z77)+2),"")))</f>
        <v/>
      </c>
      <c r="Y80" s="121" t="str" cm="1">
        <f t="array" aca="1" ref="Y80" ca="1">IF(OR(Formulas!Z78=0,Formulas!Z78=""),"",HYPERLINK("["&amp;Archivo_Nombre&amp;"]Datos!"&amp;LEFT(SUBSTITUTE(ADDRESS(1,Formulas!Z78+2),"$",""))&amp;Formulas!Y78+1,
IFERROR(INDEX(Datos!$A$2:$K$102,Formulas!Y78,Formulas!Z78+2),"")))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21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IFERROR(INDEX(Datos!$A$2:$K$102,Formulas!AC77,RIGHT(Formulas!AE77)+2),"")))</f>
        <v/>
      </c>
      <c r="AD80" s="121" t="str" cm="1">
        <f t="array" aca="1" ref="AD80" ca="1">IF(OR(Formulas!AE78=0,Formulas!AE78=""),"",HYPERLINK("["&amp;Archivo_Nombre&amp;"]Datos!"&amp;LEFT(SUBSTITUTE(ADDRESS(1,Formulas!AE78+2),"$",""))&amp;Formulas!AD78+1,
IFERROR(INDEX(Datos!$A$2:$K$102,Formulas!AD78,Formulas!AE78+2),"")))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21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IFERROR(INDEX(Datos!$A$2:$K$102,Formulas!AH77,RIGHT(Formulas!AJ77)+2),"")))</f>
        <v/>
      </c>
      <c r="AI80" s="121" t="str" cm="1">
        <f t="array" aca="1" ref="AI80" ca="1">IF(OR(Formulas!AJ78=0,Formulas!AJ78=""),"",HYPERLINK("["&amp;Archivo_Nombre&amp;"]Datos!"&amp;LEFT(SUBSTITUTE(ADDRESS(1,Formulas!AJ78+2),"$",""))&amp;Formulas!AI78+1,
IFERROR(INDEX(Datos!$A$2:$K$102,Formulas!AI78,Formulas!AJ78+2),"")))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21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IFERROR(INDEX(Datos!$A$2:$K$102,Formulas!AM77,RIGHT(Formulas!AO77)+2),"")))</f>
        <v/>
      </c>
      <c r="AN80" s="121" t="str" cm="1">
        <f t="array" aca="1" ref="AN80" ca="1">IF(OR(Formulas!AO78=0,Formulas!AO78=""),"",HYPERLINK("["&amp;Archivo_Nombre&amp;"]Datos!"&amp;LEFT(SUBSTITUTE(ADDRESS(1,Formulas!AO78+2),"$",""))&amp;Formulas!AN78+1,
IFERROR(INDEX(Datos!$A$2:$K$102,Formulas!AN78,Formulas!AO78+2),"")))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21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IFERROR(INDEX(Datos!$A$2:$K$102,Formulas!AR77,RIGHT(Formulas!AT77)+2),"")))</f>
        <v/>
      </c>
      <c r="AS80" s="121" t="str" cm="1">
        <f t="array" aca="1" ref="AS80" ca="1">IF(OR(Formulas!AT78=0,Formulas!AT78=""),"",HYPERLINK("["&amp;Archivo_Nombre&amp;"]Datos!"&amp;LEFT(SUBSTITUTE(ADDRESS(1,Formulas!AT78+2),"$",""))&amp;Formulas!AS78+1,
IFERROR(INDEX(Datos!$A$2:$K$102,Formulas!AS78,Formulas!AT78+2),"")))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21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IFERROR(INDEX(Datos!$A$2:$K$102,Formulas!AW77,RIGHT(Formulas!AY77)+2),"")))</f>
        <v/>
      </c>
      <c r="AX80" s="121" t="str" cm="1">
        <f t="array" aca="1" ref="AX80" ca="1">IF(OR(Formulas!AY78=0,Formulas!AY78=""),"",HYPERLINK("["&amp;Archivo_Nombre&amp;"]Datos!"&amp;LEFT(SUBSTITUTE(ADDRESS(1,Formulas!AY78+2),"$",""))&amp;Formulas!AX78+1,
IFERROR(INDEX(Datos!$A$2:$K$102,Formulas!AX78,Formulas!AY78+2),"")))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21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IFERROR(INDEX(Datos!$A$2:$K$102,Formulas!D78,RIGHT(Formulas!F78)+2),"")))</f>
        <v/>
      </c>
      <c r="E81" s="121" t="str" cm="1">
        <f t="array" aca="1" ref="E81" ca="1">IF(OR(Formulas!F79=0,Formulas!F79=""),"",HYPERLINK("["&amp;Archivo_Nombre&amp;"]Datos!"&amp;LEFT(SUBSTITUTE(ADDRESS(1,Formulas!F79+2),"$",""))&amp;Formulas!E79+1,
IFERROR(INDEX(Datos!$A$2:$K$102,Formulas!E79,Formulas!F79+2),"")))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>Previsto:</v>
      </c>
      <c r="I81" s="121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IFERROR(INDEX(Datos!$A$2:$K$102,Formulas!I78,RIGHT(Formulas!K78)+2),"")))</f>
        <v>46043</v>
      </c>
      <c r="J81" s="121" t="e" cm="1">
        <f t="array" aca="1" ref="J81" ca="1">IF(OR(Formulas!K79=0,Formulas!K79=""),"",HYPERLINK("["&amp;Archivo_Nombre&amp;"]Datos!"&amp;LEFT(SUBSTITUTE(ADDRESS(1,Formulas!K79+2),"$",""))&amp;Formulas!J79+1,
IFERROR(INDEX(Datos!$A$2:$K$102,Formulas!J79,Formulas!K79+2),"")))</f>
        <v>#VALUE!</v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21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IFERROR(INDEX(Datos!$A$2:$K$102,Formulas!N78,RIGHT(Formulas!P78)+2),"")))</f>
        <v/>
      </c>
      <c r="O81" s="121" t="str" cm="1">
        <f t="array" aca="1" ref="O81" ca="1">IF(OR(Formulas!P79=0,Formulas!P79=""),"",HYPERLINK("["&amp;Archivo_Nombre&amp;"]Datos!"&amp;LEFT(SUBSTITUTE(ADDRESS(1,Formulas!P79+2),"$",""))&amp;Formulas!O79+1,
IFERROR(INDEX(Datos!$A$2:$K$102,Formulas!O79,Formulas!P79+2),"")))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21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IFERROR(INDEX(Datos!$A$2:$K$102,Formulas!S78,RIGHT(Formulas!U78)+2),"")))</f>
        <v>46007</v>
      </c>
      <c r="T81" s="121" t="e" cm="1">
        <f t="array" aca="1" ref="T81" ca="1">IF(OR(Formulas!U79=0,Formulas!U79=""),"",HYPERLINK("["&amp;Archivo_Nombre&amp;"]Datos!"&amp;LEFT(SUBSTITUTE(ADDRESS(1,Formulas!U79+2),"$",""))&amp;Formulas!T79+1,
IFERROR(INDEX(Datos!$A$2:$K$102,Formulas!T79,Formulas!U79+2),"")))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21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IFERROR(INDEX(Datos!$A$2:$K$102,Formulas!X78,RIGHT(Formulas!Z78)+2),"")))</f>
        <v/>
      </c>
      <c r="Y81" s="121" t="str" cm="1">
        <f t="array" aca="1" ref="Y81" ca="1">IF(OR(Formulas!Z79=0,Formulas!Z79=""),"",HYPERLINK("["&amp;Archivo_Nombre&amp;"]Datos!"&amp;LEFT(SUBSTITUTE(ADDRESS(1,Formulas!Z79+2),"$",""))&amp;Formulas!Y79+1,
IFERROR(INDEX(Datos!$A$2:$K$102,Formulas!Y79,Formulas!Z79+2),"")))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21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IFERROR(INDEX(Datos!$A$2:$K$102,Formulas!AC78,RIGHT(Formulas!AE78)+2),"")))</f>
        <v/>
      </c>
      <c r="AD81" s="121" t="str" cm="1">
        <f t="array" aca="1" ref="AD81" ca="1">IF(OR(Formulas!AE79=0,Formulas!AE79=""),"",HYPERLINK("["&amp;Archivo_Nombre&amp;"]Datos!"&amp;LEFT(SUBSTITUTE(ADDRESS(1,Formulas!AE79+2),"$",""))&amp;Formulas!AD79+1,
IFERROR(INDEX(Datos!$A$2:$K$102,Formulas!AD79,Formulas!AE79+2),"")))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21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IFERROR(INDEX(Datos!$A$2:$K$102,Formulas!AH78,RIGHT(Formulas!AJ78)+2),"")))</f>
        <v/>
      </c>
      <c r="AI81" s="121" t="str" cm="1">
        <f t="array" aca="1" ref="AI81" ca="1">IF(OR(Formulas!AJ79=0,Formulas!AJ79=""),"",HYPERLINK("["&amp;Archivo_Nombre&amp;"]Datos!"&amp;LEFT(SUBSTITUTE(ADDRESS(1,Formulas!AJ79+2),"$",""))&amp;Formulas!AI79+1,
IFERROR(INDEX(Datos!$A$2:$K$102,Formulas!AI79,Formulas!AJ79+2),"")))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21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IFERROR(INDEX(Datos!$A$2:$K$102,Formulas!AM78,RIGHT(Formulas!AO78)+2),"")))</f>
        <v/>
      </c>
      <c r="AN81" s="121" t="str" cm="1">
        <f t="array" aca="1" ref="AN81" ca="1">IF(OR(Formulas!AO79=0,Formulas!AO79=""),"",HYPERLINK("["&amp;Archivo_Nombre&amp;"]Datos!"&amp;LEFT(SUBSTITUTE(ADDRESS(1,Formulas!AO79+2),"$",""))&amp;Formulas!AN79+1,
IFERROR(INDEX(Datos!$A$2:$K$102,Formulas!AN79,Formulas!AO79+2),"")))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21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IFERROR(INDEX(Datos!$A$2:$K$102,Formulas!AR78,RIGHT(Formulas!AT78)+2),"")))</f>
        <v/>
      </c>
      <c r="AS81" s="121" t="str" cm="1">
        <f t="array" aca="1" ref="AS81" ca="1">IF(OR(Formulas!AT79=0,Formulas!AT79=""),"",HYPERLINK("["&amp;Archivo_Nombre&amp;"]Datos!"&amp;LEFT(SUBSTITUTE(ADDRESS(1,Formulas!AT79+2),"$",""))&amp;Formulas!AS79+1,
IFERROR(INDEX(Datos!$A$2:$K$102,Formulas!AS79,Formulas!AT79+2),"")))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21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IFERROR(INDEX(Datos!$A$2:$K$102,Formulas!AW78,RIGHT(Formulas!AY78)+2),"")))</f>
        <v/>
      </c>
      <c r="AX81" s="121" t="str" cm="1">
        <f t="array" aca="1" ref="AX81" ca="1">IF(OR(Formulas!AY79=0,Formulas!AY79=""),"",HYPERLINK("["&amp;Archivo_Nombre&amp;"]Datos!"&amp;LEFT(SUBSTITUTE(ADDRESS(1,Formulas!AY79+2),"$",""))&amp;Formulas!AX79+1,
IFERROR(INDEX(Datos!$A$2:$K$102,Formulas!AX79,Formulas!AY79+2),"")))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21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IFERROR(INDEX(Datos!$A$2:$K$102,Formulas!D79,RIGHT(Formulas!F79)+2),"")))</f>
        <v/>
      </c>
      <c r="E82" s="121" t="str" cm="1">
        <f t="array" aca="1" ref="E82" ca="1">IF(OR(Formulas!F80=0,Formulas!F80=""),"",HYPERLINK("["&amp;Archivo_Nombre&amp;"]Datos!"&amp;LEFT(SUBSTITUTE(ADDRESS(1,Formulas!F80+2),"$",""))&amp;Formulas!E80+1,
IFERROR(INDEX(Datos!$A$2:$K$102,Formulas!E80,Formulas!F80+2),"")))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>Final:</v>
      </c>
      <c r="I82" s="121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IFERROR(INDEX(Datos!$A$2:$K$102,Formulas!I79,RIGHT(Formulas!K79)+2),"")))</f>
        <v>46001</v>
      </c>
      <c r="J82" s="121" t="e" cm="1">
        <f t="array" aca="1" ref="J82" ca="1">IF(OR(Formulas!K80=0,Formulas!K80=""),"",HYPERLINK("["&amp;Archivo_Nombre&amp;"]Datos!"&amp;LEFT(SUBSTITUTE(ADDRESS(1,Formulas!K80+2),"$",""))&amp;Formulas!J80+1,
IFERROR(INDEX(Datos!$A$2:$K$102,Formulas!J80,Formulas!K80+2),"")))</f>
        <v>#VALUE!</v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21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IFERROR(INDEX(Datos!$A$2:$K$102,Formulas!N79,RIGHT(Formulas!P79)+2),"")))</f>
        <v/>
      </c>
      <c r="O82" s="121" t="str" cm="1">
        <f t="array" aca="1" ref="O82" ca="1">IF(OR(Formulas!P80=0,Formulas!P80=""),"",HYPERLINK("["&amp;Archivo_Nombre&amp;"]Datos!"&amp;LEFT(SUBSTITUTE(ADDRESS(1,Formulas!P80+2),"$",""))&amp;Formulas!O80+1,
IFERROR(INDEX(Datos!$A$2:$K$102,Formulas!O80,Formulas!P80+2),"")))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21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IFERROR(INDEX(Datos!$A$2:$K$102,Formulas!S79,RIGHT(Formulas!U79)+2),"")))</f>
        <v>46007</v>
      </c>
      <c r="T82" s="121" t="e" cm="1">
        <f t="array" aca="1" ref="T82" ca="1">IF(OR(Formulas!U80=0,Formulas!U80=""),"",HYPERLINK("["&amp;Archivo_Nombre&amp;"]Datos!"&amp;LEFT(SUBSTITUTE(ADDRESS(1,Formulas!U80+2),"$",""))&amp;Formulas!T80+1,
IFERROR(INDEX(Datos!$A$2:$K$102,Formulas!T80,Formulas!U80+2),"")))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21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IFERROR(INDEX(Datos!$A$2:$K$102,Formulas!X79,RIGHT(Formulas!Z79)+2),"")))</f>
        <v/>
      </c>
      <c r="Y82" s="121" t="str" cm="1">
        <f t="array" aca="1" ref="Y82" ca="1">IF(OR(Formulas!Z80=0,Formulas!Z80=""),"",HYPERLINK("["&amp;Archivo_Nombre&amp;"]Datos!"&amp;LEFT(SUBSTITUTE(ADDRESS(1,Formulas!Z80+2),"$",""))&amp;Formulas!Y80+1,
IFERROR(INDEX(Datos!$A$2:$K$102,Formulas!Y80,Formulas!Z80+2),"")))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21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IFERROR(INDEX(Datos!$A$2:$K$102,Formulas!AC79,RIGHT(Formulas!AE79)+2),"")))</f>
        <v/>
      </c>
      <c r="AD82" s="121" t="str" cm="1">
        <f t="array" aca="1" ref="AD82" ca="1">IF(OR(Formulas!AE80=0,Formulas!AE80=""),"",HYPERLINK("["&amp;Archivo_Nombre&amp;"]Datos!"&amp;LEFT(SUBSTITUTE(ADDRESS(1,Formulas!AE80+2),"$",""))&amp;Formulas!AD80+1,
IFERROR(INDEX(Datos!$A$2:$K$102,Formulas!AD80,Formulas!AE80+2),"")))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21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IFERROR(INDEX(Datos!$A$2:$K$102,Formulas!AH79,RIGHT(Formulas!AJ79)+2),"")))</f>
        <v/>
      </c>
      <c r="AI82" s="121" t="str" cm="1">
        <f t="array" aca="1" ref="AI82" ca="1">IF(OR(Formulas!AJ80=0,Formulas!AJ80=""),"",HYPERLINK("["&amp;Archivo_Nombre&amp;"]Datos!"&amp;LEFT(SUBSTITUTE(ADDRESS(1,Formulas!AJ80+2),"$",""))&amp;Formulas!AI80+1,
IFERROR(INDEX(Datos!$A$2:$K$102,Formulas!AI80,Formulas!AJ80+2),"")))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21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IFERROR(INDEX(Datos!$A$2:$K$102,Formulas!AM79,RIGHT(Formulas!AO79)+2),"")))</f>
        <v/>
      </c>
      <c r="AN82" s="121" t="str" cm="1">
        <f t="array" aca="1" ref="AN82" ca="1">IF(OR(Formulas!AO80=0,Formulas!AO80=""),"",HYPERLINK("["&amp;Archivo_Nombre&amp;"]Datos!"&amp;LEFT(SUBSTITUTE(ADDRESS(1,Formulas!AO80+2),"$",""))&amp;Formulas!AN80+1,
IFERROR(INDEX(Datos!$A$2:$K$102,Formulas!AN80,Formulas!AO80+2),"")))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21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IFERROR(INDEX(Datos!$A$2:$K$102,Formulas!AR79,RIGHT(Formulas!AT79)+2),"")))</f>
        <v/>
      </c>
      <c r="AS82" s="121" t="str" cm="1">
        <f t="array" aca="1" ref="AS82" ca="1">IF(OR(Formulas!AT80=0,Formulas!AT80=""),"",HYPERLINK("["&amp;Archivo_Nombre&amp;"]Datos!"&amp;LEFT(SUBSTITUTE(ADDRESS(1,Formulas!AT80+2),"$",""))&amp;Formulas!AS80+1,
IFERROR(INDEX(Datos!$A$2:$K$102,Formulas!AS80,Formulas!AT80+2),"")))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21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IFERROR(INDEX(Datos!$A$2:$K$102,Formulas!AW79,RIGHT(Formulas!AY79)+2),"")))</f>
        <v/>
      </c>
      <c r="AX82" s="121" t="str" cm="1">
        <f t="array" aca="1" ref="AX82" ca="1">IF(OR(Formulas!AY80=0,Formulas!AY80=""),"",HYPERLINK("["&amp;Archivo_Nombre&amp;"]Datos!"&amp;LEFT(SUBSTITUTE(ADDRESS(1,Formulas!AY80+2),"$",""))&amp;Formulas!AX80+1,
IFERROR(INDEX(Datos!$A$2:$K$102,Formulas!AX80,Formulas!AY80+2),"")))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21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IFERROR(INDEX(Datos!$A$2:$K$102,Formulas!D80,RIGHT(Formulas!F80)+2),"")))</f>
        <v/>
      </c>
      <c r="E83" s="121" t="str" cm="1">
        <f t="array" aca="1" ref="E83" ca="1">IF(OR(Formulas!F81=0,Formulas!F81=""),"",HYPERLINK("["&amp;Archivo_Nombre&amp;"]Datos!"&amp;LEFT(SUBSTITUTE(ADDRESS(1,Formulas!F81+2),"$",""))&amp;Formulas!E81+1,
IFERROR(INDEX(Datos!$A$2:$K$102,Formulas!E81,Formulas!F81+2),"")))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>Duración:</v>
      </c>
      <c r="I83" s="121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IFERROR(INDEX(Datos!$A$2:$K$102,Formulas!I80,RIGHT(Formulas!K80)+2),"")))</f>
        <v>2 días</v>
      </c>
      <c r="J83" s="121" t="e" cm="1">
        <f t="array" aca="1" ref="J83" ca="1">IF(OR(Formulas!K81=0,Formulas!K81=""),"",HYPERLINK("["&amp;Archivo_Nombre&amp;"]Datos!"&amp;LEFT(SUBSTITUTE(ADDRESS(1,Formulas!K81+2),"$",""))&amp;Formulas!J81+1,
IFERROR(INDEX(Datos!$A$2:$K$102,Formulas!J81,Formulas!K81+2),"")))</f>
        <v>#VALUE!</v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21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IFERROR(INDEX(Datos!$A$2:$K$102,Formulas!N80,RIGHT(Formulas!P80)+2),"")))</f>
        <v/>
      </c>
      <c r="O83" s="121" t="str" cm="1">
        <f t="array" aca="1" ref="O83" ca="1">IF(OR(Formulas!P81=0,Formulas!P81=""),"",HYPERLINK("["&amp;Archivo_Nombre&amp;"]Datos!"&amp;LEFT(SUBSTITUTE(ADDRESS(1,Formulas!P81+2),"$",""))&amp;Formulas!O81+1,
IFERROR(INDEX(Datos!$A$2:$K$102,Formulas!O81,Formulas!P81+2),"")))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21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IFERROR(INDEX(Datos!$A$2:$K$102,Formulas!S80,RIGHT(Formulas!U80)+2),"")))</f>
        <v>1 días</v>
      </c>
      <c r="T83" s="121" t="e" cm="1">
        <f t="array" aca="1" ref="T83" ca="1">IF(OR(Formulas!U81=0,Formulas!U81=""),"",HYPERLINK("["&amp;Archivo_Nombre&amp;"]Datos!"&amp;LEFT(SUBSTITUTE(ADDRESS(1,Formulas!U81+2),"$",""))&amp;Formulas!T81+1,
IFERROR(INDEX(Datos!$A$2:$K$102,Formulas!T81,Formulas!U81+2),"")))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21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IFERROR(INDEX(Datos!$A$2:$K$102,Formulas!X80,RIGHT(Formulas!Z80)+2),"")))</f>
        <v/>
      </c>
      <c r="Y83" s="121" t="str" cm="1">
        <f t="array" aca="1" ref="Y83" ca="1">IF(OR(Formulas!Z81=0,Formulas!Z81=""),"",HYPERLINK("["&amp;Archivo_Nombre&amp;"]Datos!"&amp;LEFT(SUBSTITUTE(ADDRESS(1,Formulas!Z81+2),"$",""))&amp;Formulas!Y81+1,
IFERROR(INDEX(Datos!$A$2:$K$102,Formulas!Y81,Formulas!Z81+2),"")))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21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IFERROR(INDEX(Datos!$A$2:$K$102,Formulas!AC80,RIGHT(Formulas!AE80)+2),"")))</f>
        <v/>
      </c>
      <c r="AD83" s="121" t="str" cm="1">
        <f t="array" aca="1" ref="AD83" ca="1">IF(OR(Formulas!AE81=0,Formulas!AE81=""),"",HYPERLINK("["&amp;Archivo_Nombre&amp;"]Datos!"&amp;LEFT(SUBSTITUTE(ADDRESS(1,Formulas!AE81+2),"$",""))&amp;Formulas!AD81+1,
IFERROR(INDEX(Datos!$A$2:$K$102,Formulas!AD81,Formulas!AE81+2),"")))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21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IFERROR(INDEX(Datos!$A$2:$K$102,Formulas!AH80,RIGHT(Formulas!AJ80)+2),"")))</f>
        <v/>
      </c>
      <c r="AI83" s="121" t="str" cm="1">
        <f t="array" aca="1" ref="AI83" ca="1">IF(OR(Formulas!AJ81=0,Formulas!AJ81=""),"",HYPERLINK("["&amp;Archivo_Nombre&amp;"]Datos!"&amp;LEFT(SUBSTITUTE(ADDRESS(1,Formulas!AJ81+2),"$",""))&amp;Formulas!AI81+1,
IFERROR(INDEX(Datos!$A$2:$K$102,Formulas!AI81,Formulas!AJ81+2),"")))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21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IFERROR(INDEX(Datos!$A$2:$K$102,Formulas!AM80,RIGHT(Formulas!AO80)+2),"")))</f>
        <v/>
      </c>
      <c r="AN83" s="121" t="str" cm="1">
        <f t="array" aca="1" ref="AN83" ca="1">IF(OR(Formulas!AO81=0,Formulas!AO81=""),"",HYPERLINK("["&amp;Archivo_Nombre&amp;"]Datos!"&amp;LEFT(SUBSTITUTE(ADDRESS(1,Formulas!AO81+2),"$",""))&amp;Formulas!AN81+1,
IFERROR(INDEX(Datos!$A$2:$K$102,Formulas!AN81,Formulas!AO81+2),"")))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21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IFERROR(INDEX(Datos!$A$2:$K$102,Formulas!AR80,RIGHT(Formulas!AT80)+2),"")))</f>
        <v/>
      </c>
      <c r="AS83" s="121" t="str" cm="1">
        <f t="array" aca="1" ref="AS83" ca="1">IF(OR(Formulas!AT81=0,Formulas!AT81=""),"",HYPERLINK("["&amp;Archivo_Nombre&amp;"]Datos!"&amp;LEFT(SUBSTITUTE(ADDRESS(1,Formulas!AT81+2),"$",""))&amp;Formulas!AS81+1,
IFERROR(INDEX(Datos!$A$2:$K$102,Formulas!AS81,Formulas!AT81+2),"")))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21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IFERROR(INDEX(Datos!$A$2:$K$102,Formulas!AW80,RIGHT(Formulas!AY80)+2),"")))</f>
        <v/>
      </c>
      <c r="AX83" s="121" t="str" cm="1">
        <f t="array" aca="1" ref="AX83" ca="1">IF(OR(Formulas!AY81=0,Formulas!AY81=""),"",HYPERLINK("["&amp;Archivo_Nombre&amp;"]Datos!"&amp;LEFT(SUBSTITUTE(ADDRESS(1,Formulas!AY81+2),"$",""))&amp;Formulas!AX81+1,
IFERROR(INDEX(Datos!$A$2:$K$102,Formulas!AX81,Formulas!AY81+2),"")))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21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IFERROR(INDEX(Datos!$A$2:$K$102,Formulas!D81,RIGHT(Formulas!F81)+2),"")))</f>
        <v/>
      </c>
      <c r="E84" s="121" t="str" cm="1">
        <f t="array" aca="1" ref="E84" ca="1">IF(OR(Formulas!F82=0,Formulas!F82=""),"",HYPERLINK("["&amp;Archivo_Nombre&amp;"]Datos!"&amp;LEFT(SUBSTITUTE(ADDRESS(1,Formulas!F82+2),"$",""))&amp;Formulas!E82+1,
IFERROR(INDEX(Datos!$A$2:$K$102,Formulas!E82,Formulas!F82+2),"")))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>Retraso:</v>
      </c>
      <c r="I84" s="121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IFERROR(INDEX(Datos!$A$2:$K$102,Formulas!I81,RIGHT(Formulas!K81)+2),"")))</f>
        <v>0 días</v>
      </c>
      <c r="J84" s="121" t="e" cm="1">
        <f t="array" aca="1" ref="J84" ca="1">IF(OR(Formulas!K82=0,Formulas!K82=""),"",HYPERLINK("["&amp;Archivo_Nombre&amp;"]Datos!"&amp;LEFT(SUBSTITUTE(ADDRESS(1,Formulas!K82+2),"$",""))&amp;Formulas!J82+1,
IFERROR(INDEX(Datos!$A$2:$K$102,Formulas!J82,Formulas!K82+2),"")))</f>
        <v>#VALUE!</v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21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IFERROR(INDEX(Datos!$A$2:$K$102,Formulas!N81,RIGHT(Formulas!P81)+2),"")))</f>
        <v/>
      </c>
      <c r="O84" s="121" t="str" cm="1">
        <f t="array" aca="1" ref="O84" ca="1">IF(OR(Formulas!P82=0,Formulas!P82=""),"",HYPERLINK("["&amp;Archivo_Nombre&amp;"]Datos!"&amp;LEFT(SUBSTITUTE(ADDRESS(1,Formulas!P82+2),"$",""))&amp;Formulas!O82+1,
IFERROR(INDEX(Datos!$A$2:$K$102,Formulas!O82,Formulas!P82+2),"")))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21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IFERROR(INDEX(Datos!$A$2:$K$102,Formulas!S81,RIGHT(Formulas!U81)+2),"")))</f>
        <v>0 días</v>
      </c>
      <c r="T84" s="121" t="e" cm="1">
        <f t="array" aca="1" ref="T84" ca="1">IF(OR(Formulas!U82=0,Formulas!U82=""),"",HYPERLINK("["&amp;Archivo_Nombre&amp;"]Datos!"&amp;LEFT(SUBSTITUTE(ADDRESS(1,Formulas!U82+2),"$",""))&amp;Formulas!T82+1,
IFERROR(INDEX(Datos!$A$2:$K$102,Formulas!T82,Formulas!U82+2),"")))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21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IFERROR(INDEX(Datos!$A$2:$K$102,Formulas!X81,RIGHT(Formulas!Z81)+2),"")))</f>
        <v/>
      </c>
      <c r="Y84" s="121" t="str" cm="1">
        <f t="array" aca="1" ref="Y84" ca="1">IF(OR(Formulas!Z82=0,Formulas!Z82=""),"",HYPERLINK("["&amp;Archivo_Nombre&amp;"]Datos!"&amp;LEFT(SUBSTITUTE(ADDRESS(1,Formulas!Z82+2),"$",""))&amp;Formulas!Y82+1,
IFERROR(INDEX(Datos!$A$2:$K$102,Formulas!Y82,Formulas!Z82+2),"")))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21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IFERROR(INDEX(Datos!$A$2:$K$102,Formulas!AC81,RIGHT(Formulas!AE81)+2),"")))</f>
        <v/>
      </c>
      <c r="AD84" s="121" t="str" cm="1">
        <f t="array" aca="1" ref="AD84" ca="1">IF(OR(Formulas!AE82=0,Formulas!AE82=""),"",HYPERLINK("["&amp;Archivo_Nombre&amp;"]Datos!"&amp;LEFT(SUBSTITUTE(ADDRESS(1,Formulas!AE82+2),"$",""))&amp;Formulas!AD82+1,
IFERROR(INDEX(Datos!$A$2:$K$102,Formulas!AD82,Formulas!AE82+2),"")))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21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IFERROR(INDEX(Datos!$A$2:$K$102,Formulas!AH81,RIGHT(Formulas!AJ81)+2),"")))</f>
        <v/>
      </c>
      <c r="AI84" s="121" t="str" cm="1">
        <f t="array" aca="1" ref="AI84" ca="1">IF(OR(Formulas!AJ82=0,Formulas!AJ82=""),"",HYPERLINK("["&amp;Archivo_Nombre&amp;"]Datos!"&amp;LEFT(SUBSTITUTE(ADDRESS(1,Formulas!AJ82+2),"$",""))&amp;Formulas!AI82+1,
IFERROR(INDEX(Datos!$A$2:$K$102,Formulas!AI82,Formulas!AJ82+2),"")))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21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IFERROR(INDEX(Datos!$A$2:$K$102,Formulas!AM81,RIGHT(Formulas!AO81)+2),"")))</f>
        <v/>
      </c>
      <c r="AN84" s="121" t="str" cm="1">
        <f t="array" aca="1" ref="AN84" ca="1">IF(OR(Formulas!AO82=0,Formulas!AO82=""),"",HYPERLINK("["&amp;Archivo_Nombre&amp;"]Datos!"&amp;LEFT(SUBSTITUTE(ADDRESS(1,Formulas!AO82+2),"$",""))&amp;Formulas!AN82+1,
IFERROR(INDEX(Datos!$A$2:$K$102,Formulas!AN82,Formulas!AO82+2),"")))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21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IFERROR(INDEX(Datos!$A$2:$K$102,Formulas!AR81,RIGHT(Formulas!AT81)+2),"")))</f>
        <v/>
      </c>
      <c r="AS84" s="121" t="str" cm="1">
        <f t="array" aca="1" ref="AS84" ca="1">IF(OR(Formulas!AT82=0,Formulas!AT82=""),"",HYPERLINK("["&amp;Archivo_Nombre&amp;"]Datos!"&amp;LEFT(SUBSTITUTE(ADDRESS(1,Formulas!AT82+2),"$",""))&amp;Formulas!AS82+1,
IFERROR(INDEX(Datos!$A$2:$K$102,Formulas!AS82,Formulas!AT82+2),"")))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21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IFERROR(INDEX(Datos!$A$2:$K$102,Formulas!AW81,RIGHT(Formulas!AY81)+2),"")))</f>
        <v/>
      </c>
      <c r="AX84" s="121" t="str" cm="1">
        <f t="array" aca="1" ref="AX84" ca="1">IF(OR(Formulas!AY82=0,Formulas!AY82=""),"",HYPERLINK("["&amp;Archivo_Nombre&amp;"]Datos!"&amp;LEFT(SUBSTITUTE(ADDRESS(1,Formulas!AY82+2),"$",""))&amp;Formulas!AX82+1,
IFERROR(INDEX(Datos!$A$2:$K$102,Formulas!AX82,Formulas!AY82+2),"")))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21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IFERROR(INDEX(Datos!$A$2:$K$102,Formulas!D82,RIGHT(Formulas!F82)+2),"")))</f>
        <v/>
      </c>
      <c r="E85" s="121" t="str" cm="1">
        <f t="array" aca="1" ref="E85" ca="1">IF(OR(Formulas!F83=0,Formulas!F83=""),"",HYPERLINK("["&amp;Archivo_Nombre&amp;"]Datos!"&amp;LEFT(SUBSTITUTE(ADDRESS(1,Formulas!F83+2),"$",""))&amp;Formulas!E83+1,
IFERROR(INDEX(Datos!$A$2:$K$102,Formulas!E83,Formulas!F83+2),"")))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>Asignado:</v>
      </c>
      <c r="I85" s="121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IFERROR(INDEX(Datos!$A$2:$K$102,Formulas!I82,RIGHT(Formulas!K82)+2),"")))</f>
        <v>Madellyn Tasipanta</v>
      </c>
      <c r="J85" s="121" t="str" cm="1">
        <f t="array" aca="1" ref="J85" ca="1">IF(OR(Formulas!K83=0,Formulas!K83=""),"",HYPERLINK("["&amp;Archivo_Nombre&amp;"]Datos!"&amp;LEFT(SUBSTITUTE(ADDRESS(1,Formulas!K83+2),"$",""))&amp;Formulas!J83+1,
IFERROR(INDEX(Datos!$A$2:$K$102,Formulas!J83,Formulas!K83+2),"")))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21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IFERROR(INDEX(Datos!$A$2:$K$102,Formulas!N82,RIGHT(Formulas!P82)+2),"")))</f>
        <v/>
      </c>
      <c r="O85" s="121" t="str" cm="1">
        <f t="array" aca="1" ref="O85" ca="1">IF(OR(Formulas!P83=0,Formulas!P83=""),"",HYPERLINK("["&amp;Archivo_Nombre&amp;"]Datos!"&amp;LEFT(SUBSTITUTE(ADDRESS(1,Formulas!P83+2),"$",""))&amp;Formulas!O83+1,
IFERROR(INDEX(Datos!$A$2:$K$102,Formulas!O83,Formulas!P83+2),"")))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21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IFERROR(INDEX(Datos!$A$2:$K$102,Formulas!S82,RIGHT(Formulas!U82)+2),"")))</f>
        <v>Ing. Jenny Ruiz</v>
      </c>
      <c r="T85" s="121" t="str" cm="1">
        <f t="array" aca="1" ref="T85" ca="1">IF(OR(Formulas!U83=0,Formulas!U83=""),"",HYPERLINK("["&amp;Archivo_Nombre&amp;"]Datos!"&amp;LEFT(SUBSTITUTE(ADDRESS(1,Formulas!U83+2),"$",""))&amp;Formulas!T83+1,
IFERROR(INDEX(Datos!$A$2:$K$102,Formulas!T83,Formulas!U83+2),"")))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21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IFERROR(INDEX(Datos!$A$2:$K$102,Formulas!X82,RIGHT(Formulas!Z82)+2),"")))</f>
        <v/>
      </c>
      <c r="Y85" s="121" t="str" cm="1">
        <f t="array" aca="1" ref="Y85" ca="1">IF(OR(Formulas!Z83=0,Formulas!Z83=""),"",HYPERLINK("["&amp;Archivo_Nombre&amp;"]Datos!"&amp;LEFT(SUBSTITUTE(ADDRESS(1,Formulas!Z83+2),"$",""))&amp;Formulas!Y83+1,
IFERROR(INDEX(Datos!$A$2:$K$102,Formulas!Y83,Formulas!Z83+2),"")))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21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IFERROR(INDEX(Datos!$A$2:$K$102,Formulas!AC82,RIGHT(Formulas!AE82)+2),"")))</f>
        <v/>
      </c>
      <c r="AD85" s="121" t="str" cm="1">
        <f t="array" aca="1" ref="AD85" ca="1">IF(OR(Formulas!AE83=0,Formulas!AE83=""),"",HYPERLINK("["&amp;Archivo_Nombre&amp;"]Datos!"&amp;LEFT(SUBSTITUTE(ADDRESS(1,Formulas!AE83+2),"$",""))&amp;Formulas!AD83+1,
IFERROR(INDEX(Datos!$A$2:$K$102,Formulas!AD83,Formulas!AE83+2),"")))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21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IFERROR(INDEX(Datos!$A$2:$K$102,Formulas!AH82,RIGHT(Formulas!AJ82)+2),"")))</f>
        <v/>
      </c>
      <c r="AI85" s="121" t="str" cm="1">
        <f t="array" aca="1" ref="AI85" ca="1">IF(OR(Formulas!AJ83=0,Formulas!AJ83=""),"",HYPERLINK("["&amp;Archivo_Nombre&amp;"]Datos!"&amp;LEFT(SUBSTITUTE(ADDRESS(1,Formulas!AJ83+2),"$",""))&amp;Formulas!AI83+1,
IFERROR(INDEX(Datos!$A$2:$K$102,Formulas!AI83,Formulas!AJ83+2),"")))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21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IFERROR(INDEX(Datos!$A$2:$K$102,Formulas!AM82,RIGHT(Formulas!AO82)+2),"")))</f>
        <v/>
      </c>
      <c r="AN85" s="121" t="str" cm="1">
        <f t="array" aca="1" ref="AN85" ca="1">IF(OR(Formulas!AO83=0,Formulas!AO83=""),"",HYPERLINK("["&amp;Archivo_Nombre&amp;"]Datos!"&amp;LEFT(SUBSTITUTE(ADDRESS(1,Formulas!AO83+2),"$",""))&amp;Formulas!AN83+1,
IFERROR(INDEX(Datos!$A$2:$K$102,Formulas!AN83,Formulas!AO83+2),"")))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21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IFERROR(INDEX(Datos!$A$2:$K$102,Formulas!AR82,RIGHT(Formulas!AT82)+2),"")))</f>
        <v/>
      </c>
      <c r="AS85" s="121" t="str" cm="1">
        <f t="array" aca="1" ref="AS85" ca="1">IF(OR(Formulas!AT83=0,Formulas!AT83=""),"",HYPERLINK("["&amp;Archivo_Nombre&amp;"]Datos!"&amp;LEFT(SUBSTITUTE(ADDRESS(1,Formulas!AT83+2),"$",""))&amp;Formulas!AS83+1,
IFERROR(INDEX(Datos!$A$2:$K$102,Formulas!AS83,Formulas!AT83+2),"")))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21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IFERROR(INDEX(Datos!$A$2:$K$102,Formulas!AW82,RIGHT(Formulas!AY82)+2),"")))</f>
        <v/>
      </c>
      <c r="AX85" s="121" t="str" cm="1">
        <f t="array" aca="1" ref="AX85" ca="1">IF(OR(Formulas!AY83=0,Formulas!AY83=""),"",HYPERLINK("["&amp;Archivo_Nombre&amp;"]Datos!"&amp;LEFT(SUBSTITUTE(ADDRESS(1,Formulas!AY83+2),"$",""))&amp;Formulas!AX83+1,
IFERROR(INDEX(Datos!$A$2:$K$102,Formulas!AX83,Formulas!AY83+2),"")))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21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IFERROR(INDEX(Datos!$A$2:$K$102,Formulas!D83,RIGHT(Formulas!F83)+2),"")))</f>
        <v/>
      </c>
      <c r="E86" s="121" t="str" cm="1">
        <f t="array" aca="1" ref="E86" ca="1">IF(OR(Formulas!F84=0,Formulas!F84=""),"",HYPERLINK("["&amp;Archivo_Nombre&amp;"]Datos!"&amp;LEFT(SUBSTITUTE(ADDRESS(1,Formulas!F84+2),"$",""))&amp;Formulas!E84+1,
IFERROR(INDEX(Datos!$A$2:$K$102,Formulas!E84,Formulas!F84+2),"")))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21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IFERROR(INDEX(Datos!$A$2:$K$102,Formulas!I83,RIGHT(Formulas!K83)+2),"")))</f>
        <v/>
      </c>
      <c r="J86" s="121" t="e" cm="1">
        <f t="array" aca="1" ref="J86" ca="1">IF(OR(Formulas!K84=0,Formulas!K84=""),"",HYPERLINK("["&amp;Archivo_Nombre&amp;"]Datos!"&amp;LEFT(SUBSTITUTE(ADDRESS(1,Formulas!K84+2),"$",""))&amp;Formulas!J84+1,
IFERROR(INDEX(Datos!$A$2:$K$102,Formulas!J84,Formulas!K84+2),"")))</f>
        <v>#VALUE!</v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21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IFERROR(INDEX(Datos!$A$2:$K$102,Formulas!N83,RIGHT(Formulas!P83)+2),"")))</f>
        <v/>
      </c>
      <c r="O86" s="121" t="str" cm="1">
        <f t="array" aca="1" ref="O86" ca="1">IF(OR(Formulas!P84=0,Formulas!P84=""),"",HYPERLINK("["&amp;Archivo_Nombre&amp;"]Datos!"&amp;LEFT(SUBSTITUTE(ADDRESS(1,Formulas!P84+2),"$",""))&amp;Formulas!O84+1,
IFERROR(INDEX(Datos!$A$2:$K$102,Formulas!O84,Formulas!P84+2),"")))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21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IFERROR(INDEX(Datos!$A$2:$K$102,Formulas!S83,RIGHT(Formulas!U83)+2),"")))</f>
        <v/>
      </c>
      <c r="T86" s="121" t="e" cm="1">
        <f t="array" aca="1" ref="T86" ca="1">IF(OR(Formulas!U84=0,Formulas!U84=""),"",HYPERLINK("["&amp;Archivo_Nombre&amp;"]Datos!"&amp;LEFT(SUBSTITUTE(ADDRESS(1,Formulas!U84+2),"$",""))&amp;Formulas!T84+1,
IFERROR(INDEX(Datos!$A$2:$K$102,Formulas!T84,Formulas!U84+2),"")))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21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IFERROR(INDEX(Datos!$A$2:$K$102,Formulas!X83,RIGHT(Formulas!Z83)+2),"")))</f>
        <v/>
      </c>
      <c r="Y86" s="121" t="str" cm="1">
        <f t="array" aca="1" ref="Y86" ca="1">IF(OR(Formulas!Z84=0,Formulas!Z84=""),"",HYPERLINK("["&amp;Archivo_Nombre&amp;"]Datos!"&amp;LEFT(SUBSTITUTE(ADDRESS(1,Formulas!Z84+2),"$",""))&amp;Formulas!Y84+1,
IFERROR(INDEX(Datos!$A$2:$K$102,Formulas!Y84,Formulas!Z84+2),"")))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21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IFERROR(INDEX(Datos!$A$2:$K$102,Formulas!AC83,RIGHT(Formulas!AE83)+2),"")))</f>
        <v/>
      </c>
      <c r="AD86" s="121" t="str" cm="1">
        <f t="array" aca="1" ref="AD86" ca="1">IF(OR(Formulas!AE84=0,Formulas!AE84=""),"",HYPERLINK("["&amp;Archivo_Nombre&amp;"]Datos!"&amp;LEFT(SUBSTITUTE(ADDRESS(1,Formulas!AE84+2),"$",""))&amp;Formulas!AD84+1,
IFERROR(INDEX(Datos!$A$2:$K$102,Formulas!AD84,Formulas!AE84+2),"")))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21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IFERROR(INDEX(Datos!$A$2:$K$102,Formulas!AH83,RIGHT(Formulas!AJ83)+2),"")))</f>
        <v/>
      </c>
      <c r="AI86" s="121" t="str" cm="1">
        <f t="array" aca="1" ref="AI86" ca="1">IF(OR(Formulas!AJ84=0,Formulas!AJ84=""),"",HYPERLINK("["&amp;Archivo_Nombre&amp;"]Datos!"&amp;LEFT(SUBSTITUTE(ADDRESS(1,Formulas!AJ84+2),"$",""))&amp;Formulas!AI84+1,
IFERROR(INDEX(Datos!$A$2:$K$102,Formulas!AI84,Formulas!AJ84+2),"")))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21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IFERROR(INDEX(Datos!$A$2:$K$102,Formulas!AM83,RIGHT(Formulas!AO83)+2),"")))</f>
        <v/>
      </c>
      <c r="AN86" s="121" t="str" cm="1">
        <f t="array" aca="1" ref="AN86" ca="1">IF(OR(Formulas!AO84=0,Formulas!AO84=""),"",HYPERLINK("["&amp;Archivo_Nombre&amp;"]Datos!"&amp;LEFT(SUBSTITUTE(ADDRESS(1,Formulas!AO84+2),"$",""))&amp;Formulas!AN84+1,
IFERROR(INDEX(Datos!$A$2:$K$102,Formulas!AN84,Formulas!AO84+2),"")))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21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IFERROR(INDEX(Datos!$A$2:$K$102,Formulas!AR83,RIGHT(Formulas!AT83)+2),"")))</f>
        <v/>
      </c>
      <c r="AS86" s="121" t="str" cm="1">
        <f t="array" aca="1" ref="AS86" ca="1">IF(OR(Formulas!AT84=0,Formulas!AT84=""),"",HYPERLINK("["&amp;Archivo_Nombre&amp;"]Datos!"&amp;LEFT(SUBSTITUTE(ADDRESS(1,Formulas!AT84+2),"$",""))&amp;Formulas!AS84+1,
IFERROR(INDEX(Datos!$A$2:$K$102,Formulas!AS84,Formulas!AT84+2),"")))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21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IFERROR(INDEX(Datos!$A$2:$K$102,Formulas!AW83,RIGHT(Formulas!AY83)+2),"")))</f>
        <v/>
      </c>
      <c r="AX86" s="121" t="str" cm="1">
        <f t="array" aca="1" ref="AX86" ca="1">IF(OR(Formulas!AY84=0,Formulas!AY84=""),"",HYPERLINK("["&amp;Archivo_Nombre&amp;"]Datos!"&amp;LEFT(SUBSTITUTE(ADDRESS(1,Formulas!AY84+2),"$",""))&amp;Formulas!AX84+1,
IFERROR(INDEX(Datos!$A$2:$K$102,Formulas!AX84,Formulas!AY84+2),"")))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21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IFERROR(INDEX(Datos!$A$2:$K$102,Formulas!D84,RIGHT(Formulas!F84)+2),"")))</f>
        <v/>
      </c>
      <c r="E87" s="121" t="str" cm="1">
        <f t="array" aca="1" ref="E87" ca="1">IF(OR(Formulas!F85=0,Formulas!F85=""),"",HYPERLINK("["&amp;Archivo_Nombre&amp;"]Datos!"&amp;LEFT(SUBSTITUTE(ADDRESS(1,Formulas!F85+2),"$",""))&amp;Formulas!E85+1,
IFERROR(INDEX(Datos!$A$2:$K$102,Formulas!E85,Formulas!F85+2),"")))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>Tarea 60:</v>
      </c>
      <c r="I87" s="121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IFERROR(INDEX(Datos!$A$2:$K$102,Formulas!I84,RIGHT(Formulas!K84)+2),"")))</f>
        <v>Revisión defensa de proyecto final</v>
      </c>
      <c r="J87" s="121" t="e" cm="1">
        <f t="array" aca="1" ref="J87" ca="1">IF(OR(Formulas!K85=0,Formulas!K85=""),"",HYPERLINK("["&amp;Archivo_Nombre&amp;"]Datos!"&amp;LEFT(SUBSTITUTE(ADDRESS(1,Formulas!K85+2),"$",""))&amp;Formulas!J85+1,
IFERROR(INDEX(Datos!$A$2:$K$102,Formulas!J85,Formulas!K85+2),"")))</f>
        <v>#VALUE!</v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21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IFERROR(INDEX(Datos!$A$2:$K$102,Formulas!N84,RIGHT(Formulas!P84)+2),"")))</f>
        <v/>
      </c>
      <c r="O87" s="121" t="str" cm="1">
        <f t="array" aca="1" ref="O87" ca="1">IF(OR(Formulas!P85=0,Formulas!P85=""),"",HYPERLINK("["&amp;Archivo_Nombre&amp;"]Datos!"&amp;LEFT(SUBSTITUTE(ADDRESS(1,Formulas!P85+2),"$",""))&amp;Formulas!O85+1,
IFERROR(INDEX(Datos!$A$2:$K$102,Formulas!O85,Formulas!P85+2),"")))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49:</v>
      </c>
      <c r="S87" s="121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IFERROR(INDEX(Datos!$A$2:$K$102,Formulas!S84,RIGHT(Formulas!U84)+2),"")))</f>
        <v>Retroalimentación con Product owner</v>
      </c>
      <c r="T87" s="121" t="e" cm="1">
        <f t="array" aca="1" ref="T87" ca="1">IF(OR(Formulas!U85=0,Formulas!U85=""),"",HYPERLINK("["&amp;Archivo_Nombre&amp;"]Datos!"&amp;LEFT(SUBSTITUTE(ADDRESS(1,Formulas!U85+2),"$",""))&amp;Formulas!T85+1,
IFERROR(INDEX(Datos!$A$2:$K$102,Formulas!T85,Formulas!U85+2),"")))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21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IFERROR(INDEX(Datos!$A$2:$K$102,Formulas!X84,RIGHT(Formulas!Z84)+2),"")))</f>
        <v/>
      </c>
      <c r="Y87" s="121" t="str" cm="1">
        <f t="array" aca="1" ref="Y87" ca="1">IF(OR(Formulas!Z85=0,Formulas!Z85=""),"",HYPERLINK("["&amp;Archivo_Nombre&amp;"]Datos!"&amp;LEFT(SUBSTITUTE(ADDRESS(1,Formulas!Z85+2),"$",""))&amp;Formulas!Y85+1,
IFERROR(INDEX(Datos!$A$2:$K$102,Formulas!Y85,Formulas!Z85+2),"")))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21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IFERROR(INDEX(Datos!$A$2:$K$102,Formulas!AC84,RIGHT(Formulas!AE84)+2),"")))</f>
        <v/>
      </c>
      <c r="AD87" s="121" t="str" cm="1">
        <f t="array" aca="1" ref="AD87" ca="1">IF(OR(Formulas!AE85=0,Formulas!AE85=""),"",HYPERLINK("["&amp;Archivo_Nombre&amp;"]Datos!"&amp;LEFT(SUBSTITUTE(ADDRESS(1,Formulas!AE85+2),"$",""))&amp;Formulas!AD85+1,
IFERROR(INDEX(Datos!$A$2:$K$102,Formulas!AD85,Formulas!AE85+2),"")))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21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IFERROR(INDEX(Datos!$A$2:$K$102,Formulas!AH84,RIGHT(Formulas!AJ84)+2),"")))</f>
        <v/>
      </c>
      <c r="AI87" s="121" t="str" cm="1">
        <f t="array" aca="1" ref="AI87" ca="1">IF(OR(Formulas!AJ85=0,Formulas!AJ85=""),"",HYPERLINK("["&amp;Archivo_Nombre&amp;"]Datos!"&amp;LEFT(SUBSTITUTE(ADDRESS(1,Formulas!AJ85+2),"$",""))&amp;Formulas!AI85+1,
IFERROR(INDEX(Datos!$A$2:$K$102,Formulas!AI85,Formulas!AJ85+2),"")))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21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IFERROR(INDEX(Datos!$A$2:$K$102,Formulas!AM84,RIGHT(Formulas!AO84)+2),"")))</f>
        <v/>
      </c>
      <c r="AN87" s="121" t="str" cm="1">
        <f t="array" aca="1" ref="AN87" ca="1">IF(OR(Formulas!AO85=0,Formulas!AO85=""),"",HYPERLINK("["&amp;Archivo_Nombre&amp;"]Datos!"&amp;LEFT(SUBSTITUTE(ADDRESS(1,Formulas!AO85+2),"$",""))&amp;Formulas!AN85+1,
IFERROR(INDEX(Datos!$A$2:$K$102,Formulas!AN85,Formulas!AO85+2),"")))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21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IFERROR(INDEX(Datos!$A$2:$K$102,Formulas!AR84,RIGHT(Formulas!AT84)+2),"")))</f>
        <v/>
      </c>
      <c r="AS87" s="121" t="str" cm="1">
        <f t="array" aca="1" ref="AS87" ca="1">IF(OR(Formulas!AT85=0,Formulas!AT85=""),"",HYPERLINK("["&amp;Archivo_Nombre&amp;"]Datos!"&amp;LEFT(SUBSTITUTE(ADDRESS(1,Formulas!AT85+2),"$",""))&amp;Formulas!AS85+1,
IFERROR(INDEX(Datos!$A$2:$K$102,Formulas!AS85,Formulas!AT85+2),"")))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21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IFERROR(INDEX(Datos!$A$2:$K$102,Formulas!AW84,RIGHT(Formulas!AY84)+2),"")))</f>
        <v/>
      </c>
      <c r="AX87" s="121" t="str" cm="1">
        <f t="array" aca="1" ref="AX87" ca="1">IF(OR(Formulas!AY85=0,Formulas!AY85=""),"",HYPERLINK("["&amp;Archivo_Nombre&amp;"]Datos!"&amp;LEFT(SUBSTITUTE(ADDRESS(1,Formulas!AY85+2),"$",""))&amp;Formulas!AX85+1,
IFERROR(INDEX(Datos!$A$2:$K$102,Formulas!AX85,Formulas!AY85+2),"")))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21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IFERROR(INDEX(Datos!$A$2:$K$102,Formulas!D85,RIGHT(Formulas!F85)+2),"")))</f>
        <v/>
      </c>
      <c r="E88" s="121" t="str" cm="1">
        <f t="array" aca="1" ref="E88" ca="1">IF(OR(Formulas!F86=0,Formulas!F86=""),"",HYPERLINK("["&amp;Archivo_Nombre&amp;"]Datos!"&amp;LEFT(SUBSTITUTE(ADDRESS(1,Formulas!F86+2),"$",""))&amp;Formulas!E86+1,
IFERROR(INDEX(Datos!$A$2:$K$102,Formulas!E86,Formulas!F86+2),"")))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>Descripción:</v>
      </c>
      <c r="I88" s="121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IFERROR(INDEX(Datos!$A$2:$K$102,Formulas!I85,RIGHT(Formulas!K85)+2),"")))</f>
        <v>Últimos retoques y correcciones del proyecto</v>
      </c>
      <c r="J88" s="121" t="e" cm="1">
        <f t="array" aca="1" ref="J88" ca="1">IF(OR(Formulas!K86=0,Formulas!K86=""),"",HYPERLINK("["&amp;Archivo_Nombre&amp;"]Datos!"&amp;LEFT(SUBSTITUTE(ADDRESS(1,Formulas!K86+2),"$",""))&amp;Formulas!J86+1,
IFERROR(INDEX(Datos!$A$2:$K$102,Formulas!J86,Formulas!K86+2),"")))</f>
        <v>#VALUE!</v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21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IFERROR(INDEX(Datos!$A$2:$K$102,Formulas!N85,RIGHT(Formulas!P85)+2),"")))</f>
        <v/>
      </c>
      <c r="O88" s="121" t="str" cm="1">
        <f t="array" aca="1" ref="O88" ca="1">IF(OR(Formulas!P86=0,Formulas!P86=""),"",HYPERLINK("["&amp;Archivo_Nombre&amp;"]Datos!"&amp;LEFT(SUBSTITUTE(ADDRESS(1,Formulas!P86+2),"$",""))&amp;Formulas!O86+1,
IFERROR(INDEX(Datos!$A$2:$K$102,Formulas!O86,Formulas!P86+2),"")))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21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IFERROR(INDEX(Datos!$A$2:$K$102,Formulas!S85,RIGHT(Formulas!U85)+2),"")))</f>
        <v>Sugerenicas del Product Owner</v>
      </c>
      <c r="T88" s="121" t="e" cm="1">
        <f t="array" aca="1" ref="T88" ca="1">IF(OR(Formulas!U86=0,Formulas!U86=""),"",HYPERLINK("["&amp;Archivo_Nombre&amp;"]Datos!"&amp;LEFT(SUBSTITUTE(ADDRESS(1,Formulas!U86+2),"$",""))&amp;Formulas!T86+1,
IFERROR(INDEX(Datos!$A$2:$K$102,Formulas!T86,Formulas!U86+2),"")))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21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IFERROR(INDEX(Datos!$A$2:$K$102,Formulas!X85,RIGHT(Formulas!Z85)+2),"")))</f>
        <v/>
      </c>
      <c r="Y88" s="121" t="str" cm="1">
        <f t="array" aca="1" ref="Y88" ca="1">IF(OR(Formulas!Z86=0,Formulas!Z86=""),"",HYPERLINK("["&amp;Archivo_Nombre&amp;"]Datos!"&amp;LEFT(SUBSTITUTE(ADDRESS(1,Formulas!Z86+2),"$",""))&amp;Formulas!Y86+1,
IFERROR(INDEX(Datos!$A$2:$K$102,Formulas!Y86,Formulas!Z86+2),"")))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21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IFERROR(INDEX(Datos!$A$2:$K$102,Formulas!AC85,RIGHT(Formulas!AE85)+2),"")))</f>
        <v/>
      </c>
      <c r="AD88" s="121" t="str" cm="1">
        <f t="array" aca="1" ref="AD88" ca="1">IF(OR(Formulas!AE86=0,Formulas!AE86=""),"",HYPERLINK("["&amp;Archivo_Nombre&amp;"]Datos!"&amp;LEFT(SUBSTITUTE(ADDRESS(1,Formulas!AE86+2),"$",""))&amp;Formulas!AD86+1,
IFERROR(INDEX(Datos!$A$2:$K$102,Formulas!AD86,Formulas!AE86+2),"")))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21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IFERROR(INDEX(Datos!$A$2:$K$102,Formulas!AH85,RIGHT(Formulas!AJ85)+2),"")))</f>
        <v/>
      </c>
      <c r="AI88" s="121" t="str" cm="1">
        <f t="array" aca="1" ref="AI88" ca="1">IF(OR(Formulas!AJ86=0,Formulas!AJ86=""),"",HYPERLINK("["&amp;Archivo_Nombre&amp;"]Datos!"&amp;LEFT(SUBSTITUTE(ADDRESS(1,Formulas!AJ86+2),"$",""))&amp;Formulas!AI86+1,
IFERROR(INDEX(Datos!$A$2:$K$102,Formulas!AI86,Formulas!AJ86+2),"")))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21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IFERROR(INDEX(Datos!$A$2:$K$102,Formulas!AM85,RIGHT(Formulas!AO85)+2),"")))</f>
        <v/>
      </c>
      <c r="AN88" s="121" t="str" cm="1">
        <f t="array" aca="1" ref="AN88" ca="1">IF(OR(Formulas!AO86=0,Formulas!AO86=""),"",HYPERLINK("["&amp;Archivo_Nombre&amp;"]Datos!"&amp;LEFT(SUBSTITUTE(ADDRESS(1,Formulas!AO86+2),"$",""))&amp;Formulas!AN86+1,
IFERROR(INDEX(Datos!$A$2:$K$102,Formulas!AN86,Formulas!AO86+2),"")))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21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IFERROR(INDEX(Datos!$A$2:$K$102,Formulas!AR85,RIGHT(Formulas!AT85)+2),"")))</f>
        <v/>
      </c>
      <c r="AS88" s="121" t="str" cm="1">
        <f t="array" aca="1" ref="AS88" ca="1">IF(OR(Formulas!AT86=0,Formulas!AT86=""),"",HYPERLINK("["&amp;Archivo_Nombre&amp;"]Datos!"&amp;LEFT(SUBSTITUTE(ADDRESS(1,Formulas!AT86+2),"$",""))&amp;Formulas!AS86+1,
IFERROR(INDEX(Datos!$A$2:$K$102,Formulas!AS86,Formulas!AT86+2),"")))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21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IFERROR(INDEX(Datos!$A$2:$K$102,Formulas!AW85,RIGHT(Formulas!AY85)+2),"")))</f>
        <v/>
      </c>
      <c r="AX88" s="121" t="str" cm="1">
        <f t="array" aca="1" ref="AX88" ca="1">IF(OR(Formulas!AY86=0,Formulas!AY86=""),"",HYPERLINK("["&amp;Archivo_Nombre&amp;"]Datos!"&amp;LEFT(SUBSTITUTE(ADDRESS(1,Formulas!AY86+2),"$",""))&amp;Formulas!AX86+1,
IFERROR(INDEX(Datos!$A$2:$K$102,Formulas!AX86,Formulas!AY86+2),"")))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21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IFERROR(INDEX(Datos!$A$2:$K$102,Formulas!D86,RIGHT(Formulas!F86)+2),"")))</f>
        <v/>
      </c>
      <c r="E89" s="121" t="str" cm="1">
        <f t="array" aca="1" ref="E89" ca="1">IF(OR(Formulas!F87=0,Formulas!F87=""),"",HYPERLINK("["&amp;Archivo_Nombre&amp;"]Datos!"&amp;LEFT(SUBSTITUTE(ADDRESS(1,Formulas!F87+2),"$",""))&amp;Formulas!E87+1,
IFERROR(INDEX(Datos!$A$2:$K$102,Formulas!E87,Formulas!F87+2),"")))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>Inicio:</v>
      </c>
      <c r="I89" s="121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IFERROR(INDEX(Datos!$A$2:$K$102,Formulas!I86,RIGHT(Formulas!K86)+2),"")))</f>
        <v>46055</v>
      </c>
      <c r="J89" s="121" t="e" cm="1">
        <f t="array" aca="1" ref="J89" ca="1">IF(OR(Formulas!K87=0,Formulas!K87=""),"",HYPERLINK("["&amp;Archivo_Nombre&amp;"]Datos!"&amp;LEFT(SUBSTITUTE(ADDRESS(1,Formulas!K87+2),"$",""))&amp;Formulas!J87+1,
IFERROR(INDEX(Datos!$A$2:$K$102,Formulas!J87,Formulas!K87+2),"")))</f>
        <v>#VALUE!</v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21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IFERROR(INDEX(Datos!$A$2:$K$102,Formulas!N86,RIGHT(Formulas!P86)+2),"")))</f>
        <v/>
      </c>
      <c r="O89" s="121" t="str" cm="1">
        <f t="array" aca="1" ref="O89" ca="1">IF(OR(Formulas!P87=0,Formulas!P87=""),"",HYPERLINK("["&amp;Archivo_Nombre&amp;"]Datos!"&amp;LEFT(SUBSTITUTE(ADDRESS(1,Formulas!P87+2),"$",""))&amp;Formulas!O87+1,
IFERROR(INDEX(Datos!$A$2:$K$102,Formulas!O87,Formulas!P87+2),"")))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21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IFERROR(INDEX(Datos!$A$2:$K$102,Formulas!S86,RIGHT(Formulas!U86)+2),"")))</f>
        <v>46006</v>
      </c>
      <c r="T89" s="121" t="e" cm="1">
        <f t="array" aca="1" ref="T89" ca="1">IF(OR(Formulas!U87=0,Formulas!U87=""),"",HYPERLINK("["&amp;Archivo_Nombre&amp;"]Datos!"&amp;LEFT(SUBSTITUTE(ADDRESS(1,Formulas!U87+2),"$",""))&amp;Formulas!T87+1,
IFERROR(INDEX(Datos!$A$2:$K$102,Formulas!T87,Formulas!U87+2),"")))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21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IFERROR(INDEX(Datos!$A$2:$K$102,Formulas!X86,RIGHT(Formulas!Z86)+2),"")))</f>
        <v/>
      </c>
      <c r="Y89" s="121" t="str" cm="1">
        <f t="array" aca="1" ref="Y89" ca="1">IF(OR(Formulas!Z87=0,Formulas!Z87=""),"",HYPERLINK("["&amp;Archivo_Nombre&amp;"]Datos!"&amp;LEFT(SUBSTITUTE(ADDRESS(1,Formulas!Z87+2),"$",""))&amp;Formulas!Y87+1,
IFERROR(INDEX(Datos!$A$2:$K$102,Formulas!Y87,Formulas!Z87+2),"")))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21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IFERROR(INDEX(Datos!$A$2:$K$102,Formulas!AC86,RIGHT(Formulas!AE86)+2),"")))</f>
        <v/>
      </c>
      <c r="AD89" s="121" t="str" cm="1">
        <f t="array" aca="1" ref="AD89" ca="1">IF(OR(Formulas!AE87=0,Formulas!AE87=""),"",HYPERLINK("["&amp;Archivo_Nombre&amp;"]Datos!"&amp;LEFT(SUBSTITUTE(ADDRESS(1,Formulas!AE87+2),"$",""))&amp;Formulas!AD87+1,
IFERROR(INDEX(Datos!$A$2:$K$102,Formulas!AD87,Formulas!AE87+2),"")))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21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IFERROR(INDEX(Datos!$A$2:$K$102,Formulas!AH86,RIGHT(Formulas!AJ86)+2),"")))</f>
        <v/>
      </c>
      <c r="AI89" s="121" t="str" cm="1">
        <f t="array" aca="1" ref="AI89" ca="1">IF(OR(Formulas!AJ87=0,Formulas!AJ87=""),"",HYPERLINK("["&amp;Archivo_Nombre&amp;"]Datos!"&amp;LEFT(SUBSTITUTE(ADDRESS(1,Formulas!AJ87+2),"$",""))&amp;Formulas!AI87+1,
IFERROR(INDEX(Datos!$A$2:$K$102,Formulas!AI87,Formulas!AJ87+2),"")))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21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IFERROR(INDEX(Datos!$A$2:$K$102,Formulas!AM86,RIGHT(Formulas!AO86)+2),"")))</f>
        <v/>
      </c>
      <c r="AN89" s="121" t="str" cm="1">
        <f t="array" aca="1" ref="AN89" ca="1">IF(OR(Formulas!AO87=0,Formulas!AO87=""),"",HYPERLINK("["&amp;Archivo_Nombre&amp;"]Datos!"&amp;LEFT(SUBSTITUTE(ADDRESS(1,Formulas!AO87+2),"$",""))&amp;Formulas!AN87+1,
IFERROR(INDEX(Datos!$A$2:$K$102,Formulas!AN87,Formulas!AO87+2),"")))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21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IFERROR(INDEX(Datos!$A$2:$K$102,Formulas!AR86,RIGHT(Formulas!AT86)+2),"")))</f>
        <v/>
      </c>
      <c r="AS89" s="121" t="str" cm="1">
        <f t="array" aca="1" ref="AS89" ca="1">IF(OR(Formulas!AT87=0,Formulas!AT87=""),"",HYPERLINK("["&amp;Archivo_Nombre&amp;"]Datos!"&amp;LEFT(SUBSTITUTE(ADDRESS(1,Formulas!AT87+2),"$",""))&amp;Formulas!AS87+1,
IFERROR(INDEX(Datos!$A$2:$K$102,Formulas!AS87,Formulas!AT87+2),"")))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21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IFERROR(INDEX(Datos!$A$2:$K$102,Formulas!AW86,RIGHT(Formulas!AY86)+2),"")))</f>
        <v/>
      </c>
      <c r="AX89" s="121" t="str" cm="1">
        <f t="array" aca="1" ref="AX89" ca="1">IF(OR(Formulas!AY87=0,Formulas!AY87=""),"",HYPERLINK("["&amp;Archivo_Nombre&amp;"]Datos!"&amp;LEFT(SUBSTITUTE(ADDRESS(1,Formulas!AY87+2),"$",""))&amp;Formulas!AX87+1,
IFERROR(INDEX(Datos!$A$2:$K$102,Formulas!AX87,Formulas!AY87+2),"")))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21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IFERROR(INDEX(Datos!$A$2:$K$102,Formulas!D87,RIGHT(Formulas!F87)+2),"")))</f>
        <v/>
      </c>
      <c r="E90" s="121" t="str" cm="1">
        <f t="array" aca="1" ref="E90" ca="1">IF(OR(Formulas!F88=0,Formulas!F88=""),"",HYPERLINK("["&amp;Archivo_Nombre&amp;"]Datos!"&amp;LEFT(SUBSTITUTE(ADDRESS(1,Formulas!F88+2),"$",""))&amp;Formulas!E88+1,
IFERROR(INDEX(Datos!$A$2:$K$102,Formulas!E88,Formulas!F88+2),"")))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>Previsto:</v>
      </c>
      <c r="I90" s="121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IFERROR(INDEX(Datos!$A$2:$K$102,Formulas!I87,RIGHT(Formulas!K87)+2),"")))</f>
        <v>46055</v>
      </c>
      <c r="J90" s="121" t="e" cm="1">
        <f t="array" aca="1" ref="J90" ca="1">IF(OR(Formulas!K88=0,Formulas!K88=""),"",HYPERLINK("["&amp;Archivo_Nombre&amp;"]Datos!"&amp;LEFT(SUBSTITUTE(ADDRESS(1,Formulas!K88+2),"$",""))&amp;Formulas!J88+1,
IFERROR(INDEX(Datos!$A$2:$K$102,Formulas!J88,Formulas!K88+2),"")))</f>
        <v>#VALUE!</v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21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IFERROR(INDEX(Datos!$A$2:$K$102,Formulas!N87,RIGHT(Formulas!P87)+2),"")))</f>
        <v/>
      </c>
      <c r="O90" s="121" t="str" cm="1">
        <f t="array" aca="1" ref="O90" ca="1">IF(OR(Formulas!P88=0,Formulas!P88=""),"",HYPERLINK("["&amp;Archivo_Nombre&amp;"]Datos!"&amp;LEFT(SUBSTITUTE(ADDRESS(1,Formulas!P88+2),"$",""))&amp;Formulas!O88+1,
IFERROR(INDEX(Datos!$A$2:$K$102,Formulas!O88,Formulas!P88+2),"")))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21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IFERROR(INDEX(Datos!$A$2:$K$102,Formulas!S87,RIGHT(Formulas!U87)+2),"")))</f>
        <v>46006</v>
      </c>
      <c r="T90" s="121" t="e" cm="1">
        <f t="array" aca="1" ref="T90" ca="1">IF(OR(Formulas!U88=0,Formulas!U88=""),"",HYPERLINK("["&amp;Archivo_Nombre&amp;"]Datos!"&amp;LEFT(SUBSTITUTE(ADDRESS(1,Formulas!U88+2),"$",""))&amp;Formulas!T88+1,
IFERROR(INDEX(Datos!$A$2:$K$102,Formulas!T88,Formulas!U88+2),"")))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21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IFERROR(INDEX(Datos!$A$2:$K$102,Formulas!X87,RIGHT(Formulas!Z87)+2),"")))</f>
        <v/>
      </c>
      <c r="Y90" s="121" t="str" cm="1">
        <f t="array" aca="1" ref="Y90" ca="1">IF(OR(Formulas!Z88=0,Formulas!Z88=""),"",HYPERLINK("["&amp;Archivo_Nombre&amp;"]Datos!"&amp;LEFT(SUBSTITUTE(ADDRESS(1,Formulas!Z88+2),"$",""))&amp;Formulas!Y88+1,
IFERROR(INDEX(Datos!$A$2:$K$102,Formulas!Y88,Formulas!Z88+2),"")))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21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IFERROR(INDEX(Datos!$A$2:$K$102,Formulas!AC87,RIGHT(Formulas!AE87)+2),"")))</f>
        <v/>
      </c>
      <c r="AD90" s="121" t="str" cm="1">
        <f t="array" aca="1" ref="AD90" ca="1">IF(OR(Formulas!AE88=0,Formulas!AE88=""),"",HYPERLINK("["&amp;Archivo_Nombre&amp;"]Datos!"&amp;LEFT(SUBSTITUTE(ADDRESS(1,Formulas!AE88+2),"$",""))&amp;Formulas!AD88+1,
IFERROR(INDEX(Datos!$A$2:$K$102,Formulas!AD88,Formulas!AE88+2),"")))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21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IFERROR(INDEX(Datos!$A$2:$K$102,Formulas!AH87,RIGHT(Formulas!AJ87)+2),"")))</f>
        <v/>
      </c>
      <c r="AI90" s="121" t="str" cm="1">
        <f t="array" aca="1" ref="AI90" ca="1">IF(OR(Formulas!AJ88=0,Formulas!AJ88=""),"",HYPERLINK("["&amp;Archivo_Nombre&amp;"]Datos!"&amp;LEFT(SUBSTITUTE(ADDRESS(1,Formulas!AJ88+2),"$",""))&amp;Formulas!AI88+1,
IFERROR(INDEX(Datos!$A$2:$K$102,Formulas!AI88,Formulas!AJ88+2),"")))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21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IFERROR(INDEX(Datos!$A$2:$K$102,Formulas!AM87,RIGHT(Formulas!AO87)+2),"")))</f>
        <v/>
      </c>
      <c r="AN90" s="121" t="str" cm="1">
        <f t="array" aca="1" ref="AN90" ca="1">IF(OR(Formulas!AO88=0,Formulas!AO88=""),"",HYPERLINK("["&amp;Archivo_Nombre&amp;"]Datos!"&amp;LEFT(SUBSTITUTE(ADDRESS(1,Formulas!AO88+2),"$",""))&amp;Formulas!AN88+1,
IFERROR(INDEX(Datos!$A$2:$K$102,Formulas!AN88,Formulas!AO88+2),"")))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21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IFERROR(INDEX(Datos!$A$2:$K$102,Formulas!AR87,RIGHT(Formulas!AT87)+2),"")))</f>
        <v/>
      </c>
      <c r="AS90" s="121" t="str" cm="1">
        <f t="array" aca="1" ref="AS90" ca="1">IF(OR(Formulas!AT88=0,Formulas!AT88=""),"",HYPERLINK("["&amp;Archivo_Nombre&amp;"]Datos!"&amp;LEFT(SUBSTITUTE(ADDRESS(1,Formulas!AT88+2),"$",""))&amp;Formulas!AS88+1,
IFERROR(INDEX(Datos!$A$2:$K$102,Formulas!AS88,Formulas!AT88+2),"")))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21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IFERROR(INDEX(Datos!$A$2:$K$102,Formulas!AW87,RIGHT(Formulas!AY87)+2),"")))</f>
        <v/>
      </c>
      <c r="AX90" s="121" t="str" cm="1">
        <f t="array" aca="1" ref="AX90" ca="1">IF(OR(Formulas!AY88=0,Formulas!AY88=""),"",HYPERLINK("["&amp;Archivo_Nombre&amp;"]Datos!"&amp;LEFT(SUBSTITUTE(ADDRESS(1,Formulas!AY88+2),"$",""))&amp;Formulas!AX88+1,
IFERROR(INDEX(Datos!$A$2:$K$102,Formulas!AX88,Formulas!AY88+2),"")))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21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IFERROR(INDEX(Datos!$A$2:$K$102,Formulas!D88,RIGHT(Formulas!F88)+2),"")))</f>
        <v/>
      </c>
      <c r="E91" s="121" t="str" cm="1">
        <f t="array" aca="1" ref="E91" ca="1">IF(OR(Formulas!F89=0,Formulas!F89=""),"",HYPERLINK("["&amp;Archivo_Nombre&amp;"]Datos!"&amp;LEFT(SUBSTITUTE(ADDRESS(1,Formulas!F89+2),"$",""))&amp;Formulas!E89+1,
IFERROR(INDEX(Datos!$A$2:$K$102,Formulas!E89,Formulas!F89+2),"")))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>Final:</v>
      </c>
      <c r="I91" s="121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IFERROR(INDEX(Datos!$A$2:$K$102,Formulas!I88,RIGHT(Formulas!K88)+2),"")))</f>
        <v>46055</v>
      </c>
      <c r="J91" s="121" t="e" cm="1">
        <f t="array" aca="1" ref="J91" ca="1">IF(OR(Formulas!K89=0,Formulas!K89=""),"",HYPERLINK("["&amp;Archivo_Nombre&amp;"]Datos!"&amp;LEFT(SUBSTITUTE(ADDRESS(1,Formulas!K89+2),"$",""))&amp;Formulas!J89+1,
IFERROR(INDEX(Datos!$A$2:$K$102,Formulas!J89,Formulas!K89+2),"")))</f>
        <v>#VALUE!</v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21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IFERROR(INDEX(Datos!$A$2:$K$102,Formulas!N88,RIGHT(Formulas!P88)+2),"")))</f>
        <v/>
      </c>
      <c r="O91" s="121" t="str" cm="1">
        <f t="array" aca="1" ref="O91" ca="1">IF(OR(Formulas!P89=0,Formulas!P89=""),"",HYPERLINK("["&amp;Archivo_Nombre&amp;"]Datos!"&amp;LEFT(SUBSTITUTE(ADDRESS(1,Formulas!P89+2),"$",""))&amp;Formulas!O89+1,
IFERROR(INDEX(Datos!$A$2:$K$102,Formulas!O89,Formulas!P89+2),"")))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21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IFERROR(INDEX(Datos!$A$2:$K$102,Formulas!S88,RIGHT(Formulas!U88)+2),"")))</f>
        <v>46006</v>
      </c>
      <c r="T91" s="121" t="e" cm="1">
        <f t="array" aca="1" ref="T91" ca="1">IF(OR(Formulas!U89=0,Formulas!U89=""),"",HYPERLINK("["&amp;Archivo_Nombre&amp;"]Datos!"&amp;LEFT(SUBSTITUTE(ADDRESS(1,Formulas!U89+2),"$",""))&amp;Formulas!T89+1,
IFERROR(INDEX(Datos!$A$2:$K$102,Formulas!T89,Formulas!U89+2),"")))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21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IFERROR(INDEX(Datos!$A$2:$K$102,Formulas!X88,RIGHT(Formulas!Z88)+2),"")))</f>
        <v/>
      </c>
      <c r="Y91" s="121" t="str" cm="1">
        <f t="array" aca="1" ref="Y91" ca="1">IF(OR(Formulas!Z89=0,Formulas!Z89=""),"",HYPERLINK("["&amp;Archivo_Nombre&amp;"]Datos!"&amp;LEFT(SUBSTITUTE(ADDRESS(1,Formulas!Z89+2),"$",""))&amp;Formulas!Y89+1,
IFERROR(INDEX(Datos!$A$2:$K$102,Formulas!Y89,Formulas!Z89+2),"")))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21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IFERROR(INDEX(Datos!$A$2:$K$102,Formulas!AC88,RIGHT(Formulas!AE88)+2),"")))</f>
        <v/>
      </c>
      <c r="AD91" s="121" t="str" cm="1">
        <f t="array" aca="1" ref="AD91" ca="1">IF(OR(Formulas!AE89=0,Formulas!AE89=""),"",HYPERLINK("["&amp;Archivo_Nombre&amp;"]Datos!"&amp;LEFT(SUBSTITUTE(ADDRESS(1,Formulas!AE89+2),"$",""))&amp;Formulas!AD89+1,
IFERROR(INDEX(Datos!$A$2:$K$102,Formulas!AD89,Formulas!AE89+2),"")))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21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IFERROR(INDEX(Datos!$A$2:$K$102,Formulas!AH88,RIGHT(Formulas!AJ88)+2),"")))</f>
        <v/>
      </c>
      <c r="AI91" s="121" t="str" cm="1">
        <f t="array" aca="1" ref="AI91" ca="1">IF(OR(Formulas!AJ89=0,Formulas!AJ89=""),"",HYPERLINK("["&amp;Archivo_Nombre&amp;"]Datos!"&amp;LEFT(SUBSTITUTE(ADDRESS(1,Formulas!AJ89+2),"$",""))&amp;Formulas!AI89+1,
IFERROR(INDEX(Datos!$A$2:$K$102,Formulas!AI89,Formulas!AJ89+2),"")))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21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IFERROR(INDEX(Datos!$A$2:$K$102,Formulas!AM88,RIGHT(Formulas!AO88)+2),"")))</f>
        <v/>
      </c>
      <c r="AN91" s="121" t="str" cm="1">
        <f t="array" aca="1" ref="AN91" ca="1">IF(OR(Formulas!AO89=0,Formulas!AO89=""),"",HYPERLINK("["&amp;Archivo_Nombre&amp;"]Datos!"&amp;LEFT(SUBSTITUTE(ADDRESS(1,Formulas!AO89+2),"$",""))&amp;Formulas!AN89+1,
IFERROR(INDEX(Datos!$A$2:$K$102,Formulas!AN89,Formulas!AO89+2),"")))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21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IFERROR(INDEX(Datos!$A$2:$K$102,Formulas!AR88,RIGHT(Formulas!AT88)+2),"")))</f>
        <v/>
      </c>
      <c r="AS91" s="121" t="str" cm="1">
        <f t="array" aca="1" ref="AS91" ca="1">IF(OR(Formulas!AT89=0,Formulas!AT89=""),"",HYPERLINK("["&amp;Archivo_Nombre&amp;"]Datos!"&amp;LEFT(SUBSTITUTE(ADDRESS(1,Formulas!AT89+2),"$",""))&amp;Formulas!AS89+1,
IFERROR(INDEX(Datos!$A$2:$K$102,Formulas!AS89,Formulas!AT89+2),"")))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21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IFERROR(INDEX(Datos!$A$2:$K$102,Formulas!AW88,RIGHT(Formulas!AY88)+2),"")))</f>
        <v/>
      </c>
      <c r="AX91" s="121" t="str" cm="1">
        <f t="array" aca="1" ref="AX91" ca="1">IF(OR(Formulas!AY89=0,Formulas!AY89=""),"",HYPERLINK("["&amp;Archivo_Nombre&amp;"]Datos!"&amp;LEFT(SUBSTITUTE(ADDRESS(1,Formulas!AY89+2),"$",""))&amp;Formulas!AX89+1,
IFERROR(INDEX(Datos!$A$2:$K$102,Formulas!AX89,Formulas!AY89+2),"")))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21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IFERROR(INDEX(Datos!$A$2:$K$102,Formulas!D89,RIGHT(Formulas!F89)+2),"")))</f>
        <v/>
      </c>
      <c r="E92" s="121" t="str" cm="1">
        <f t="array" aca="1" ref="E92" ca="1">IF(OR(Formulas!F90=0,Formulas!F90=""),"",HYPERLINK("["&amp;Archivo_Nombre&amp;"]Datos!"&amp;LEFT(SUBSTITUTE(ADDRESS(1,Formulas!F90+2),"$",""))&amp;Formulas!E90+1,
IFERROR(INDEX(Datos!$A$2:$K$102,Formulas!E90,Formulas!F90+2),"")))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>Duración:</v>
      </c>
      <c r="I92" s="121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IFERROR(INDEX(Datos!$A$2:$K$102,Formulas!I89,RIGHT(Formulas!K89)+2),"")))</f>
        <v>1 días</v>
      </c>
      <c r="J92" s="121" t="e" cm="1">
        <f t="array" aca="1" ref="J92" ca="1">IF(OR(Formulas!K90=0,Formulas!K90=""),"",HYPERLINK("["&amp;Archivo_Nombre&amp;"]Datos!"&amp;LEFT(SUBSTITUTE(ADDRESS(1,Formulas!K90+2),"$",""))&amp;Formulas!J90+1,
IFERROR(INDEX(Datos!$A$2:$K$102,Formulas!J90,Formulas!K90+2),"")))</f>
        <v>#VALUE!</v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21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IFERROR(INDEX(Datos!$A$2:$K$102,Formulas!N89,RIGHT(Formulas!P89)+2),"")))</f>
        <v/>
      </c>
      <c r="O92" s="121" t="str" cm="1">
        <f t="array" aca="1" ref="O92" ca="1">IF(OR(Formulas!P90=0,Formulas!P90=""),"",HYPERLINK("["&amp;Archivo_Nombre&amp;"]Datos!"&amp;LEFT(SUBSTITUTE(ADDRESS(1,Formulas!P90+2),"$",""))&amp;Formulas!O90+1,
IFERROR(INDEX(Datos!$A$2:$K$102,Formulas!O90,Formulas!P90+2),"")))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21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IFERROR(INDEX(Datos!$A$2:$K$102,Formulas!S89,RIGHT(Formulas!U89)+2),"")))</f>
        <v>1 días</v>
      </c>
      <c r="T92" s="121" t="e" cm="1">
        <f t="array" aca="1" ref="T92" ca="1">IF(OR(Formulas!U90=0,Formulas!U90=""),"",HYPERLINK("["&amp;Archivo_Nombre&amp;"]Datos!"&amp;LEFT(SUBSTITUTE(ADDRESS(1,Formulas!U90+2),"$",""))&amp;Formulas!T90+1,
IFERROR(INDEX(Datos!$A$2:$K$102,Formulas!T90,Formulas!U90+2),"")))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21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IFERROR(INDEX(Datos!$A$2:$K$102,Formulas!X89,RIGHT(Formulas!Z89)+2),"")))</f>
        <v/>
      </c>
      <c r="Y92" s="121" t="str" cm="1">
        <f t="array" aca="1" ref="Y92" ca="1">IF(OR(Formulas!Z90=0,Formulas!Z90=""),"",HYPERLINK("["&amp;Archivo_Nombre&amp;"]Datos!"&amp;LEFT(SUBSTITUTE(ADDRESS(1,Formulas!Z90+2),"$",""))&amp;Formulas!Y90+1,
IFERROR(INDEX(Datos!$A$2:$K$102,Formulas!Y90,Formulas!Z90+2),"")))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21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IFERROR(INDEX(Datos!$A$2:$K$102,Formulas!AC89,RIGHT(Formulas!AE89)+2),"")))</f>
        <v/>
      </c>
      <c r="AD92" s="121" t="str" cm="1">
        <f t="array" aca="1" ref="AD92" ca="1">IF(OR(Formulas!AE90=0,Formulas!AE90=""),"",HYPERLINK("["&amp;Archivo_Nombre&amp;"]Datos!"&amp;LEFT(SUBSTITUTE(ADDRESS(1,Formulas!AE90+2),"$",""))&amp;Formulas!AD90+1,
IFERROR(INDEX(Datos!$A$2:$K$102,Formulas!AD90,Formulas!AE90+2),"")))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21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IFERROR(INDEX(Datos!$A$2:$K$102,Formulas!AH89,RIGHT(Formulas!AJ89)+2),"")))</f>
        <v/>
      </c>
      <c r="AI92" s="121" t="str" cm="1">
        <f t="array" aca="1" ref="AI92" ca="1">IF(OR(Formulas!AJ90=0,Formulas!AJ90=""),"",HYPERLINK("["&amp;Archivo_Nombre&amp;"]Datos!"&amp;LEFT(SUBSTITUTE(ADDRESS(1,Formulas!AJ90+2),"$",""))&amp;Formulas!AI90+1,
IFERROR(INDEX(Datos!$A$2:$K$102,Formulas!AI90,Formulas!AJ90+2),"")))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21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IFERROR(INDEX(Datos!$A$2:$K$102,Formulas!AM89,RIGHT(Formulas!AO89)+2),"")))</f>
        <v/>
      </c>
      <c r="AN92" s="121" t="str" cm="1">
        <f t="array" aca="1" ref="AN92" ca="1">IF(OR(Formulas!AO90=0,Formulas!AO90=""),"",HYPERLINK("["&amp;Archivo_Nombre&amp;"]Datos!"&amp;LEFT(SUBSTITUTE(ADDRESS(1,Formulas!AO90+2),"$",""))&amp;Formulas!AN90+1,
IFERROR(INDEX(Datos!$A$2:$K$102,Formulas!AN90,Formulas!AO90+2),"")))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21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IFERROR(INDEX(Datos!$A$2:$K$102,Formulas!AR89,RIGHT(Formulas!AT89)+2),"")))</f>
        <v/>
      </c>
      <c r="AS92" s="121" t="str" cm="1">
        <f t="array" aca="1" ref="AS92" ca="1">IF(OR(Formulas!AT90=0,Formulas!AT90=""),"",HYPERLINK("["&amp;Archivo_Nombre&amp;"]Datos!"&amp;LEFT(SUBSTITUTE(ADDRESS(1,Formulas!AT90+2),"$",""))&amp;Formulas!AS90+1,
IFERROR(INDEX(Datos!$A$2:$K$102,Formulas!AS90,Formulas!AT90+2),"")))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21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IFERROR(INDEX(Datos!$A$2:$K$102,Formulas!AW89,RIGHT(Formulas!AY89)+2),"")))</f>
        <v/>
      </c>
      <c r="AX92" s="121" t="str" cm="1">
        <f t="array" aca="1" ref="AX92" ca="1">IF(OR(Formulas!AY90=0,Formulas!AY90=""),"",HYPERLINK("["&amp;Archivo_Nombre&amp;"]Datos!"&amp;LEFT(SUBSTITUTE(ADDRESS(1,Formulas!AY90+2),"$",""))&amp;Formulas!AX90+1,
IFERROR(INDEX(Datos!$A$2:$K$102,Formulas!AX90,Formulas!AY90+2),"")))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21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IFERROR(INDEX(Datos!$A$2:$K$102,Formulas!D90,RIGHT(Formulas!F90)+2),"")))</f>
        <v/>
      </c>
      <c r="E93" s="121" t="str" cm="1">
        <f t="array" aca="1" ref="E93" ca="1">IF(OR(Formulas!F91=0,Formulas!F91=""),"",HYPERLINK("["&amp;Archivo_Nombre&amp;"]Datos!"&amp;LEFT(SUBSTITUTE(ADDRESS(1,Formulas!F91+2),"$",""))&amp;Formulas!E91+1,
IFERROR(INDEX(Datos!$A$2:$K$102,Formulas!E91,Formulas!F91+2),"")))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>Retraso:</v>
      </c>
      <c r="I93" s="121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IFERROR(INDEX(Datos!$A$2:$K$102,Formulas!I90,RIGHT(Formulas!K90)+2),"")))</f>
        <v>0 días</v>
      </c>
      <c r="J93" s="121" t="e" cm="1">
        <f t="array" aca="1" ref="J93" ca="1">IF(OR(Formulas!K91=0,Formulas!K91=""),"",HYPERLINK("["&amp;Archivo_Nombre&amp;"]Datos!"&amp;LEFT(SUBSTITUTE(ADDRESS(1,Formulas!K91+2),"$",""))&amp;Formulas!J91+1,
IFERROR(INDEX(Datos!$A$2:$K$102,Formulas!J91,Formulas!K91+2),"")))</f>
        <v>#VALUE!</v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21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IFERROR(INDEX(Datos!$A$2:$K$102,Formulas!N90,RIGHT(Formulas!P90)+2),"")))</f>
        <v/>
      </c>
      <c r="O93" s="121" t="str" cm="1">
        <f t="array" aca="1" ref="O93" ca="1">IF(OR(Formulas!P91=0,Formulas!P91=""),"",HYPERLINK("["&amp;Archivo_Nombre&amp;"]Datos!"&amp;LEFT(SUBSTITUTE(ADDRESS(1,Formulas!P91+2),"$",""))&amp;Formulas!O91+1,
IFERROR(INDEX(Datos!$A$2:$K$102,Formulas!O91,Formulas!P91+2),"")))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21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IFERROR(INDEX(Datos!$A$2:$K$102,Formulas!S90,RIGHT(Formulas!U90)+2),"")))</f>
        <v>0 días</v>
      </c>
      <c r="T93" s="121" t="e" cm="1">
        <f t="array" aca="1" ref="T93" ca="1">IF(OR(Formulas!U91=0,Formulas!U91=""),"",HYPERLINK("["&amp;Archivo_Nombre&amp;"]Datos!"&amp;LEFT(SUBSTITUTE(ADDRESS(1,Formulas!U91+2),"$",""))&amp;Formulas!T91+1,
IFERROR(INDEX(Datos!$A$2:$K$102,Formulas!T91,Formulas!U91+2),"")))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21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IFERROR(INDEX(Datos!$A$2:$K$102,Formulas!X90,RIGHT(Formulas!Z90)+2),"")))</f>
        <v/>
      </c>
      <c r="Y93" s="121" t="str" cm="1">
        <f t="array" aca="1" ref="Y93" ca="1">IF(OR(Formulas!Z91=0,Formulas!Z91=""),"",HYPERLINK("["&amp;Archivo_Nombre&amp;"]Datos!"&amp;LEFT(SUBSTITUTE(ADDRESS(1,Formulas!Z91+2),"$",""))&amp;Formulas!Y91+1,
IFERROR(INDEX(Datos!$A$2:$K$102,Formulas!Y91,Formulas!Z91+2),"")))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21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IFERROR(INDEX(Datos!$A$2:$K$102,Formulas!AC90,RIGHT(Formulas!AE90)+2),"")))</f>
        <v/>
      </c>
      <c r="AD93" s="121" t="str" cm="1">
        <f t="array" aca="1" ref="AD93" ca="1">IF(OR(Formulas!AE91=0,Formulas!AE91=""),"",HYPERLINK("["&amp;Archivo_Nombre&amp;"]Datos!"&amp;LEFT(SUBSTITUTE(ADDRESS(1,Formulas!AE91+2),"$",""))&amp;Formulas!AD91+1,
IFERROR(INDEX(Datos!$A$2:$K$102,Formulas!AD91,Formulas!AE91+2),"")))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21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IFERROR(INDEX(Datos!$A$2:$K$102,Formulas!AH90,RIGHT(Formulas!AJ90)+2),"")))</f>
        <v/>
      </c>
      <c r="AI93" s="121" t="str" cm="1">
        <f t="array" aca="1" ref="AI93" ca="1">IF(OR(Formulas!AJ91=0,Formulas!AJ91=""),"",HYPERLINK("["&amp;Archivo_Nombre&amp;"]Datos!"&amp;LEFT(SUBSTITUTE(ADDRESS(1,Formulas!AJ91+2),"$",""))&amp;Formulas!AI91+1,
IFERROR(INDEX(Datos!$A$2:$K$102,Formulas!AI91,Formulas!AJ91+2),"")))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21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IFERROR(INDEX(Datos!$A$2:$K$102,Formulas!AM90,RIGHT(Formulas!AO90)+2),"")))</f>
        <v/>
      </c>
      <c r="AN93" s="121" t="str" cm="1">
        <f t="array" aca="1" ref="AN93" ca="1">IF(OR(Formulas!AO91=0,Formulas!AO91=""),"",HYPERLINK("["&amp;Archivo_Nombre&amp;"]Datos!"&amp;LEFT(SUBSTITUTE(ADDRESS(1,Formulas!AO91+2),"$",""))&amp;Formulas!AN91+1,
IFERROR(INDEX(Datos!$A$2:$K$102,Formulas!AN91,Formulas!AO91+2),"")))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21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IFERROR(INDEX(Datos!$A$2:$K$102,Formulas!AR90,RIGHT(Formulas!AT90)+2),"")))</f>
        <v/>
      </c>
      <c r="AS93" s="121" t="str" cm="1">
        <f t="array" aca="1" ref="AS93" ca="1">IF(OR(Formulas!AT91=0,Formulas!AT91=""),"",HYPERLINK("["&amp;Archivo_Nombre&amp;"]Datos!"&amp;LEFT(SUBSTITUTE(ADDRESS(1,Formulas!AT91+2),"$",""))&amp;Formulas!AS91+1,
IFERROR(INDEX(Datos!$A$2:$K$102,Formulas!AS91,Formulas!AT91+2),"")))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21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IFERROR(INDEX(Datos!$A$2:$K$102,Formulas!AW90,RIGHT(Formulas!AY90)+2),"")))</f>
        <v/>
      </c>
      <c r="AX93" s="121" t="str" cm="1">
        <f t="array" aca="1" ref="AX93" ca="1">IF(OR(Formulas!AY91=0,Formulas!AY91=""),"",HYPERLINK("["&amp;Archivo_Nombre&amp;"]Datos!"&amp;LEFT(SUBSTITUTE(ADDRESS(1,Formulas!AY91+2),"$",""))&amp;Formulas!AX91+1,
IFERROR(INDEX(Datos!$A$2:$K$102,Formulas!AX91,Formulas!AY91+2),"")))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21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IFERROR(INDEX(Datos!$A$2:$K$102,Formulas!D91,RIGHT(Formulas!F91)+2),"")))</f>
        <v/>
      </c>
      <c r="E94" s="121" t="str" cm="1">
        <f t="array" aca="1" ref="E94" ca="1">IF(OR(Formulas!F92=0,Formulas!F92=""),"",HYPERLINK("["&amp;Archivo_Nombre&amp;"]Datos!"&amp;LEFT(SUBSTITUTE(ADDRESS(1,Formulas!F92+2),"$",""))&amp;Formulas!E92+1,
IFERROR(INDEX(Datos!$A$2:$K$102,Formulas!E92,Formulas!F92+2),"")))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>Asignado:</v>
      </c>
      <c r="I94" s="121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IFERROR(INDEX(Datos!$A$2:$K$102,Formulas!I91,RIGHT(Formulas!K91)+2),"")))</f>
        <v>Ing. Jenny Ruiz</v>
      </c>
      <c r="J94" s="121" t="str" cm="1">
        <f t="array" aca="1" ref="J94" ca="1">IF(OR(Formulas!K92=0,Formulas!K92=""),"",HYPERLINK("["&amp;Archivo_Nombre&amp;"]Datos!"&amp;LEFT(SUBSTITUTE(ADDRESS(1,Formulas!K92+2),"$",""))&amp;Formulas!J92+1,
IFERROR(INDEX(Datos!$A$2:$K$102,Formulas!J92,Formulas!K92+2),"")))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21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IFERROR(INDEX(Datos!$A$2:$K$102,Formulas!N91,RIGHT(Formulas!P91)+2),"")))</f>
        <v/>
      </c>
      <c r="O94" s="121" t="str" cm="1">
        <f t="array" aca="1" ref="O94" ca="1">IF(OR(Formulas!P92=0,Formulas!P92=""),"",HYPERLINK("["&amp;Archivo_Nombre&amp;"]Datos!"&amp;LEFT(SUBSTITUTE(ADDRESS(1,Formulas!P92+2),"$",""))&amp;Formulas!O92+1,
IFERROR(INDEX(Datos!$A$2:$K$102,Formulas!O92,Formulas!P92+2),"")))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21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IFERROR(INDEX(Datos!$A$2:$K$102,Formulas!S91,RIGHT(Formulas!U91)+2),"")))</f>
        <v>Madellyn Tasipanta</v>
      </c>
      <c r="T94" s="121" t="str" cm="1">
        <f t="array" aca="1" ref="T94" ca="1">IF(OR(Formulas!U92=0,Formulas!U92=""),"",HYPERLINK("["&amp;Archivo_Nombre&amp;"]Datos!"&amp;LEFT(SUBSTITUTE(ADDRESS(1,Formulas!U92+2),"$",""))&amp;Formulas!T92+1,
IFERROR(INDEX(Datos!$A$2:$K$102,Formulas!T92,Formulas!U92+2),"")))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21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IFERROR(INDEX(Datos!$A$2:$K$102,Formulas!X91,RIGHT(Formulas!Z91)+2),"")))</f>
        <v/>
      </c>
      <c r="Y94" s="121" t="str" cm="1">
        <f t="array" aca="1" ref="Y94" ca="1">IF(OR(Formulas!Z92=0,Formulas!Z92=""),"",HYPERLINK("["&amp;Archivo_Nombre&amp;"]Datos!"&amp;LEFT(SUBSTITUTE(ADDRESS(1,Formulas!Z92+2),"$",""))&amp;Formulas!Y92+1,
IFERROR(INDEX(Datos!$A$2:$K$102,Formulas!Y92,Formulas!Z92+2),"")))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21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IFERROR(INDEX(Datos!$A$2:$K$102,Formulas!AC91,RIGHT(Formulas!AE91)+2),"")))</f>
        <v/>
      </c>
      <c r="AD94" s="121" t="str" cm="1">
        <f t="array" aca="1" ref="AD94" ca="1">IF(OR(Formulas!AE92=0,Formulas!AE92=""),"",HYPERLINK("["&amp;Archivo_Nombre&amp;"]Datos!"&amp;LEFT(SUBSTITUTE(ADDRESS(1,Formulas!AE92+2),"$",""))&amp;Formulas!AD92+1,
IFERROR(INDEX(Datos!$A$2:$K$102,Formulas!AD92,Formulas!AE92+2),"")))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21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IFERROR(INDEX(Datos!$A$2:$K$102,Formulas!AH91,RIGHT(Formulas!AJ91)+2),"")))</f>
        <v/>
      </c>
      <c r="AI94" s="121" t="str" cm="1">
        <f t="array" aca="1" ref="AI94" ca="1">IF(OR(Formulas!AJ92=0,Formulas!AJ92=""),"",HYPERLINK("["&amp;Archivo_Nombre&amp;"]Datos!"&amp;LEFT(SUBSTITUTE(ADDRESS(1,Formulas!AJ92+2),"$",""))&amp;Formulas!AI92+1,
IFERROR(INDEX(Datos!$A$2:$K$102,Formulas!AI92,Formulas!AJ92+2),"")))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21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IFERROR(INDEX(Datos!$A$2:$K$102,Formulas!AM91,RIGHT(Formulas!AO91)+2),"")))</f>
        <v/>
      </c>
      <c r="AN94" s="121" t="str" cm="1">
        <f t="array" aca="1" ref="AN94" ca="1">IF(OR(Formulas!AO92=0,Formulas!AO92=""),"",HYPERLINK("["&amp;Archivo_Nombre&amp;"]Datos!"&amp;LEFT(SUBSTITUTE(ADDRESS(1,Formulas!AO92+2),"$",""))&amp;Formulas!AN92+1,
IFERROR(INDEX(Datos!$A$2:$K$102,Formulas!AN92,Formulas!AO92+2),"")))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21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IFERROR(INDEX(Datos!$A$2:$K$102,Formulas!AR91,RIGHT(Formulas!AT91)+2),"")))</f>
        <v/>
      </c>
      <c r="AS94" s="121" t="str" cm="1">
        <f t="array" aca="1" ref="AS94" ca="1">IF(OR(Formulas!AT92=0,Formulas!AT92=""),"",HYPERLINK("["&amp;Archivo_Nombre&amp;"]Datos!"&amp;LEFT(SUBSTITUTE(ADDRESS(1,Formulas!AT92+2),"$",""))&amp;Formulas!AS92+1,
IFERROR(INDEX(Datos!$A$2:$K$102,Formulas!AS92,Formulas!AT92+2),"")))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21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IFERROR(INDEX(Datos!$A$2:$K$102,Formulas!AW91,RIGHT(Formulas!AY91)+2),"")))</f>
        <v/>
      </c>
      <c r="AX94" s="121" t="str" cm="1">
        <f t="array" aca="1" ref="AX94" ca="1">IF(OR(Formulas!AY92=0,Formulas!AY92=""),"",HYPERLINK("["&amp;Archivo_Nombre&amp;"]Datos!"&amp;LEFT(SUBSTITUTE(ADDRESS(1,Formulas!AY92+2),"$",""))&amp;Formulas!AX92+1,
IFERROR(INDEX(Datos!$A$2:$K$102,Formulas!AX92,Formulas!AY92+2),"")))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21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IFERROR(INDEX(Datos!$A$2:$K$102,Formulas!D92,RIGHT(Formulas!F92)+2),"")))</f>
        <v/>
      </c>
      <c r="E95" s="121" t="str" cm="1">
        <f t="array" aca="1" ref="E95" ca="1">IF(OR(Formulas!F93=0,Formulas!F93=""),"",HYPERLINK("["&amp;Archivo_Nombre&amp;"]Datos!"&amp;LEFT(SUBSTITUTE(ADDRESS(1,Formulas!F93+2),"$",""))&amp;Formulas!E93+1,
IFERROR(INDEX(Datos!$A$2:$K$102,Formulas!E93,Formulas!F93+2),"")))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21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IFERROR(INDEX(Datos!$A$2:$K$102,Formulas!I92,RIGHT(Formulas!K92)+2),"")))</f>
        <v/>
      </c>
      <c r="J95" s="121" t="str" cm="1">
        <f t="array" aca="1" ref="J95" ca="1">IF(OR(Formulas!K93=0,Formulas!K93=""),"",HYPERLINK("["&amp;Archivo_Nombre&amp;"]Datos!"&amp;LEFT(SUBSTITUTE(ADDRESS(1,Formulas!K93+2),"$",""))&amp;Formulas!J93+1,
IFERROR(INDEX(Datos!$A$2:$K$102,Formulas!J93,Formulas!K93+2),"")))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21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IFERROR(INDEX(Datos!$A$2:$K$102,Formulas!N92,RIGHT(Formulas!P92)+2),"")))</f>
        <v/>
      </c>
      <c r="O95" s="121" t="str" cm="1">
        <f t="array" aca="1" ref="O95" ca="1">IF(OR(Formulas!P93=0,Formulas!P93=""),"",HYPERLINK("["&amp;Archivo_Nombre&amp;"]Datos!"&amp;LEFT(SUBSTITUTE(ADDRESS(1,Formulas!P93+2),"$",""))&amp;Formulas!O93+1,
IFERROR(INDEX(Datos!$A$2:$K$102,Formulas!O93,Formulas!P93+2),"")))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21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IFERROR(INDEX(Datos!$A$2:$K$102,Formulas!S92,RIGHT(Formulas!U92)+2),"")))</f>
        <v/>
      </c>
      <c r="T95" s="121" t="e" cm="1">
        <f t="array" aca="1" ref="T95" ca="1">IF(OR(Formulas!U93=0,Formulas!U93=""),"",HYPERLINK("["&amp;Archivo_Nombre&amp;"]Datos!"&amp;LEFT(SUBSTITUTE(ADDRESS(1,Formulas!U93+2),"$",""))&amp;Formulas!T93+1,
IFERROR(INDEX(Datos!$A$2:$K$102,Formulas!T93,Formulas!U93+2),"")))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21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IFERROR(INDEX(Datos!$A$2:$K$102,Formulas!X92,RIGHT(Formulas!Z92)+2),"")))</f>
        <v/>
      </c>
      <c r="Y95" s="121" t="str" cm="1">
        <f t="array" aca="1" ref="Y95" ca="1">IF(OR(Formulas!Z93=0,Formulas!Z93=""),"",HYPERLINK("["&amp;Archivo_Nombre&amp;"]Datos!"&amp;LEFT(SUBSTITUTE(ADDRESS(1,Formulas!Z93+2),"$",""))&amp;Formulas!Y93+1,
IFERROR(INDEX(Datos!$A$2:$K$102,Formulas!Y93,Formulas!Z93+2),"")))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21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IFERROR(INDEX(Datos!$A$2:$K$102,Formulas!AC92,RIGHT(Formulas!AE92)+2),"")))</f>
        <v/>
      </c>
      <c r="AD95" s="121" t="str" cm="1">
        <f t="array" aca="1" ref="AD95" ca="1">IF(OR(Formulas!AE93=0,Formulas!AE93=""),"",HYPERLINK("["&amp;Archivo_Nombre&amp;"]Datos!"&amp;LEFT(SUBSTITUTE(ADDRESS(1,Formulas!AE93+2),"$",""))&amp;Formulas!AD93+1,
IFERROR(INDEX(Datos!$A$2:$K$102,Formulas!AD93,Formulas!AE93+2),"")))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21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IFERROR(INDEX(Datos!$A$2:$K$102,Formulas!AH92,RIGHT(Formulas!AJ92)+2),"")))</f>
        <v/>
      </c>
      <c r="AI95" s="121" t="str" cm="1">
        <f t="array" aca="1" ref="AI95" ca="1">IF(OR(Formulas!AJ93=0,Formulas!AJ93=""),"",HYPERLINK("["&amp;Archivo_Nombre&amp;"]Datos!"&amp;LEFT(SUBSTITUTE(ADDRESS(1,Formulas!AJ93+2),"$",""))&amp;Formulas!AI93+1,
IFERROR(INDEX(Datos!$A$2:$K$102,Formulas!AI93,Formulas!AJ93+2),"")))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21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IFERROR(INDEX(Datos!$A$2:$K$102,Formulas!AM92,RIGHT(Formulas!AO92)+2),"")))</f>
        <v/>
      </c>
      <c r="AN95" s="121" t="str" cm="1">
        <f t="array" aca="1" ref="AN95" ca="1">IF(OR(Formulas!AO93=0,Formulas!AO93=""),"",HYPERLINK("["&amp;Archivo_Nombre&amp;"]Datos!"&amp;LEFT(SUBSTITUTE(ADDRESS(1,Formulas!AO93+2),"$",""))&amp;Formulas!AN93+1,
IFERROR(INDEX(Datos!$A$2:$K$102,Formulas!AN93,Formulas!AO93+2),"")))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21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IFERROR(INDEX(Datos!$A$2:$K$102,Formulas!AR92,RIGHT(Formulas!AT92)+2),"")))</f>
        <v/>
      </c>
      <c r="AS95" s="121" t="str" cm="1">
        <f t="array" aca="1" ref="AS95" ca="1">IF(OR(Formulas!AT93=0,Formulas!AT93=""),"",HYPERLINK("["&amp;Archivo_Nombre&amp;"]Datos!"&amp;LEFT(SUBSTITUTE(ADDRESS(1,Formulas!AT93+2),"$",""))&amp;Formulas!AS93+1,
IFERROR(INDEX(Datos!$A$2:$K$102,Formulas!AS93,Formulas!AT93+2),"")))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21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IFERROR(INDEX(Datos!$A$2:$K$102,Formulas!AW92,RIGHT(Formulas!AY92)+2),"")))</f>
        <v/>
      </c>
      <c r="AX95" s="121" t="str" cm="1">
        <f t="array" aca="1" ref="AX95" ca="1">IF(OR(Formulas!AY93=0,Formulas!AY93=""),"",HYPERLINK("["&amp;Archivo_Nombre&amp;"]Datos!"&amp;LEFT(SUBSTITUTE(ADDRESS(1,Formulas!AY93+2),"$",""))&amp;Formulas!AX93+1,
IFERROR(INDEX(Datos!$A$2:$K$102,Formulas!AX93,Formulas!AY93+2),"")))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21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IFERROR(INDEX(Datos!$A$2:$K$102,Formulas!D93,RIGHT(Formulas!F93)+2),"")))</f>
        <v/>
      </c>
      <c r="E96" s="121" t="str" cm="1">
        <f t="array" aca="1" ref="E96" ca="1">IF(OR(Formulas!F94=0,Formulas!F94=""),"",HYPERLINK("["&amp;Archivo_Nombre&amp;"]Datos!"&amp;LEFT(SUBSTITUTE(ADDRESS(1,Formulas!F94+2),"$",""))&amp;Formulas!E94+1,
IFERROR(INDEX(Datos!$A$2:$K$102,Formulas!E94,Formulas!F94+2),"")))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21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IFERROR(INDEX(Datos!$A$2:$K$102,Formulas!I93,RIGHT(Formulas!K93)+2),"")))</f>
        <v/>
      </c>
      <c r="J96" s="121" t="str" cm="1">
        <f t="array" aca="1" ref="J96" ca="1">IF(OR(Formulas!K94=0,Formulas!K94=""),"",HYPERLINK("["&amp;Archivo_Nombre&amp;"]Datos!"&amp;LEFT(SUBSTITUTE(ADDRESS(1,Formulas!K94+2),"$",""))&amp;Formulas!J94+1,
IFERROR(INDEX(Datos!$A$2:$K$102,Formulas!J94,Formulas!K94+2),"")))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21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IFERROR(INDEX(Datos!$A$2:$K$102,Formulas!N93,RIGHT(Formulas!P93)+2),"")))</f>
        <v/>
      </c>
      <c r="O96" s="121" t="str" cm="1">
        <f t="array" aca="1" ref="O96" ca="1">IF(OR(Formulas!P94=0,Formulas!P94=""),"",HYPERLINK("["&amp;Archivo_Nombre&amp;"]Datos!"&amp;LEFT(SUBSTITUTE(ADDRESS(1,Formulas!P94+2),"$",""))&amp;Formulas!O94+1,
IFERROR(INDEX(Datos!$A$2:$K$102,Formulas!O94,Formulas!P94+2),"")))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48:</v>
      </c>
      <c r="S96" s="121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IFERROR(INDEX(Datos!$A$2:$K$102,Formulas!S93,RIGHT(Formulas!U93)+2),"")))</f>
        <v>Revisión de Backlog Sprint0, Sprint1</v>
      </c>
      <c r="T96" s="121" t="e" cm="1">
        <f t="array" aca="1" ref="T96" ca="1">IF(OR(Formulas!U94=0,Formulas!U94=""),"",HYPERLINK("["&amp;Archivo_Nombre&amp;"]Datos!"&amp;LEFT(SUBSTITUTE(ADDRESS(1,Formulas!U94+2),"$",""))&amp;Formulas!T94+1,
IFERROR(INDEX(Datos!$A$2:$K$102,Formulas!T94,Formulas!U94+2),"")))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21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IFERROR(INDEX(Datos!$A$2:$K$102,Formulas!X93,RIGHT(Formulas!Z93)+2),"")))</f>
        <v/>
      </c>
      <c r="Y96" s="121" t="str" cm="1">
        <f t="array" aca="1" ref="Y96" ca="1">IF(OR(Formulas!Z94=0,Formulas!Z94=""),"",HYPERLINK("["&amp;Archivo_Nombre&amp;"]Datos!"&amp;LEFT(SUBSTITUTE(ADDRESS(1,Formulas!Z94+2),"$",""))&amp;Formulas!Y94+1,
IFERROR(INDEX(Datos!$A$2:$K$102,Formulas!Y94,Formulas!Z94+2),"")))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21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IFERROR(INDEX(Datos!$A$2:$K$102,Formulas!AC93,RIGHT(Formulas!AE93)+2),"")))</f>
        <v/>
      </c>
      <c r="AD96" s="121" t="str" cm="1">
        <f t="array" aca="1" ref="AD96" ca="1">IF(OR(Formulas!AE94=0,Formulas!AE94=""),"",HYPERLINK("["&amp;Archivo_Nombre&amp;"]Datos!"&amp;LEFT(SUBSTITUTE(ADDRESS(1,Formulas!AE94+2),"$",""))&amp;Formulas!AD94+1,
IFERROR(INDEX(Datos!$A$2:$K$102,Formulas!AD94,Formulas!AE94+2),"")))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21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IFERROR(INDEX(Datos!$A$2:$K$102,Formulas!AH93,RIGHT(Formulas!AJ93)+2),"")))</f>
        <v/>
      </c>
      <c r="AI96" s="121" t="str" cm="1">
        <f t="array" aca="1" ref="AI96" ca="1">IF(OR(Formulas!AJ94=0,Formulas!AJ94=""),"",HYPERLINK("["&amp;Archivo_Nombre&amp;"]Datos!"&amp;LEFT(SUBSTITUTE(ADDRESS(1,Formulas!AJ94+2),"$",""))&amp;Formulas!AI94+1,
IFERROR(INDEX(Datos!$A$2:$K$102,Formulas!AI94,Formulas!AJ94+2),"")))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21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IFERROR(INDEX(Datos!$A$2:$K$102,Formulas!AM93,RIGHT(Formulas!AO93)+2),"")))</f>
        <v/>
      </c>
      <c r="AN96" s="121" t="str" cm="1">
        <f t="array" aca="1" ref="AN96" ca="1">IF(OR(Formulas!AO94=0,Formulas!AO94=""),"",HYPERLINK("["&amp;Archivo_Nombre&amp;"]Datos!"&amp;LEFT(SUBSTITUTE(ADDRESS(1,Formulas!AO94+2),"$",""))&amp;Formulas!AN94+1,
IFERROR(INDEX(Datos!$A$2:$K$102,Formulas!AN94,Formulas!AO94+2),"")))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21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IFERROR(INDEX(Datos!$A$2:$K$102,Formulas!AR93,RIGHT(Formulas!AT93)+2),"")))</f>
        <v/>
      </c>
      <c r="AS96" s="121" t="str" cm="1">
        <f t="array" aca="1" ref="AS96" ca="1">IF(OR(Formulas!AT94=0,Formulas!AT94=""),"",HYPERLINK("["&amp;Archivo_Nombre&amp;"]Datos!"&amp;LEFT(SUBSTITUTE(ADDRESS(1,Formulas!AT94+2),"$",""))&amp;Formulas!AS94+1,
IFERROR(INDEX(Datos!$A$2:$K$102,Formulas!AS94,Formulas!AT94+2),"")))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21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IFERROR(INDEX(Datos!$A$2:$K$102,Formulas!AW93,RIGHT(Formulas!AY93)+2),"")))</f>
        <v/>
      </c>
      <c r="AX96" s="121" t="str" cm="1">
        <f t="array" aca="1" ref="AX96" ca="1">IF(OR(Formulas!AY94=0,Formulas!AY94=""),"",HYPERLINK("["&amp;Archivo_Nombre&amp;"]Datos!"&amp;LEFT(SUBSTITUTE(ADDRESS(1,Formulas!AY94+2),"$",""))&amp;Formulas!AX94+1,
IFERROR(INDEX(Datos!$A$2:$K$102,Formulas!AX94,Formulas!AY94+2),"")))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21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IFERROR(INDEX(Datos!$A$2:$K$102,Formulas!D94,RIGHT(Formulas!F94)+2),"")))</f>
        <v/>
      </c>
      <c r="E97" s="121" t="str" cm="1">
        <f t="array" aca="1" ref="E97" ca="1">IF(OR(Formulas!F95=0,Formulas!F95=""),"",HYPERLINK("["&amp;Archivo_Nombre&amp;"]Datos!"&amp;LEFT(SUBSTITUTE(ADDRESS(1,Formulas!F95+2),"$",""))&amp;Formulas!E95+1,
IFERROR(INDEX(Datos!$A$2:$K$102,Formulas!E95,Formulas!F95+2),"")))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21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IFERROR(INDEX(Datos!$A$2:$K$102,Formulas!I94,RIGHT(Formulas!K94)+2),"")))</f>
        <v/>
      </c>
      <c r="J97" s="121" t="str" cm="1">
        <f t="array" aca="1" ref="J97" ca="1">IF(OR(Formulas!K95=0,Formulas!K95=""),"",HYPERLINK("["&amp;Archivo_Nombre&amp;"]Datos!"&amp;LEFT(SUBSTITUTE(ADDRESS(1,Formulas!K95+2),"$",""))&amp;Formulas!J95+1,
IFERROR(INDEX(Datos!$A$2:$K$102,Formulas!J95,Formulas!K95+2),"")))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21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IFERROR(INDEX(Datos!$A$2:$K$102,Formulas!N94,RIGHT(Formulas!P94)+2),"")))</f>
        <v/>
      </c>
      <c r="O97" s="121" t="str" cm="1">
        <f t="array" aca="1" ref="O97" ca="1">IF(OR(Formulas!P95=0,Formulas!P95=""),"",HYPERLINK("["&amp;Archivo_Nombre&amp;"]Datos!"&amp;LEFT(SUBSTITUTE(ADDRESS(1,Formulas!P95+2),"$",""))&amp;Formulas!O95+1,
IFERROR(INDEX(Datos!$A$2:$K$102,Formulas!O95,Formulas!P95+2),"")))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21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IFERROR(INDEX(Datos!$A$2:$K$102,Formulas!S94,RIGHT(Formulas!U94)+2),"")))</f>
        <v>Revisión por parte de la ingeniera guía del proyecto</v>
      </c>
      <c r="T97" s="121" t="e" cm="1">
        <f t="array" aca="1" ref="T97" ca="1">IF(OR(Formulas!U95=0,Formulas!U95=""),"",HYPERLINK("["&amp;Archivo_Nombre&amp;"]Datos!"&amp;LEFT(SUBSTITUTE(ADDRESS(1,Formulas!U95+2),"$",""))&amp;Formulas!T95+1,
IFERROR(INDEX(Datos!$A$2:$K$102,Formulas!T95,Formulas!U95+2),"")))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21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IFERROR(INDEX(Datos!$A$2:$K$102,Formulas!X94,RIGHT(Formulas!Z94)+2),"")))</f>
        <v/>
      </c>
      <c r="Y97" s="121" t="str" cm="1">
        <f t="array" aca="1" ref="Y97" ca="1">IF(OR(Formulas!Z95=0,Formulas!Z95=""),"",HYPERLINK("["&amp;Archivo_Nombre&amp;"]Datos!"&amp;LEFT(SUBSTITUTE(ADDRESS(1,Formulas!Z95+2),"$",""))&amp;Formulas!Y95+1,
IFERROR(INDEX(Datos!$A$2:$K$102,Formulas!Y95,Formulas!Z95+2),"")))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21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IFERROR(INDEX(Datos!$A$2:$K$102,Formulas!AC94,RIGHT(Formulas!AE94)+2),"")))</f>
        <v/>
      </c>
      <c r="AD97" s="121" t="str" cm="1">
        <f t="array" aca="1" ref="AD97" ca="1">IF(OR(Formulas!AE95=0,Formulas!AE95=""),"",HYPERLINK("["&amp;Archivo_Nombre&amp;"]Datos!"&amp;LEFT(SUBSTITUTE(ADDRESS(1,Formulas!AE95+2),"$",""))&amp;Formulas!AD95+1,
IFERROR(INDEX(Datos!$A$2:$K$102,Formulas!AD95,Formulas!AE95+2),"")))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21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IFERROR(INDEX(Datos!$A$2:$K$102,Formulas!AH94,RIGHT(Formulas!AJ94)+2),"")))</f>
        <v/>
      </c>
      <c r="AI97" s="121" t="str" cm="1">
        <f t="array" aca="1" ref="AI97" ca="1">IF(OR(Formulas!AJ95=0,Formulas!AJ95=""),"",HYPERLINK("["&amp;Archivo_Nombre&amp;"]Datos!"&amp;LEFT(SUBSTITUTE(ADDRESS(1,Formulas!AJ95+2),"$",""))&amp;Formulas!AI95+1,
IFERROR(INDEX(Datos!$A$2:$K$102,Formulas!AI95,Formulas!AJ95+2),"")))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21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IFERROR(INDEX(Datos!$A$2:$K$102,Formulas!AM94,RIGHT(Formulas!AO94)+2),"")))</f>
        <v/>
      </c>
      <c r="AN97" s="121" t="str" cm="1">
        <f t="array" aca="1" ref="AN97" ca="1">IF(OR(Formulas!AO95=0,Formulas!AO95=""),"",HYPERLINK("["&amp;Archivo_Nombre&amp;"]Datos!"&amp;LEFT(SUBSTITUTE(ADDRESS(1,Formulas!AO95+2),"$",""))&amp;Formulas!AN95+1,
IFERROR(INDEX(Datos!$A$2:$K$102,Formulas!AN95,Formulas!AO95+2),"")))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21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IFERROR(INDEX(Datos!$A$2:$K$102,Formulas!AR94,RIGHT(Formulas!AT94)+2),"")))</f>
        <v/>
      </c>
      <c r="AS97" s="121" t="str" cm="1">
        <f t="array" aca="1" ref="AS97" ca="1">IF(OR(Formulas!AT95=0,Formulas!AT95=""),"",HYPERLINK("["&amp;Archivo_Nombre&amp;"]Datos!"&amp;LEFT(SUBSTITUTE(ADDRESS(1,Formulas!AT95+2),"$",""))&amp;Formulas!AS95+1,
IFERROR(INDEX(Datos!$A$2:$K$102,Formulas!AS95,Formulas!AT95+2),"")))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21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IFERROR(INDEX(Datos!$A$2:$K$102,Formulas!AW94,RIGHT(Formulas!AY94)+2),"")))</f>
        <v/>
      </c>
      <c r="AX97" s="121" t="str" cm="1">
        <f t="array" aca="1" ref="AX97" ca="1">IF(OR(Formulas!AY95=0,Formulas!AY95=""),"",HYPERLINK("["&amp;Archivo_Nombre&amp;"]Datos!"&amp;LEFT(SUBSTITUTE(ADDRESS(1,Formulas!AY95+2),"$",""))&amp;Formulas!AX95+1,
IFERROR(INDEX(Datos!$A$2:$K$102,Formulas!AX95,Formulas!AY95+2),"")))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21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IFERROR(INDEX(Datos!$A$2:$K$102,Formulas!D95,RIGHT(Formulas!F95)+2),"")))</f>
        <v/>
      </c>
      <c r="E98" s="121" t="str" cm="1">
        <f t="array" aca="1" ref="E98" ca="1">IF(OR(Formulas!F96=0,Formulas!F96=""),"",HYPERLINK("["&amp;Archivo_Nombre&amp;"]Datos!"&amp;LEFT(SUBSTITUTE(ADDRESS(1,Formulas!F96+2),"$",""))&amp;Formulas!E96+1,
IFERROR(INDEX(Datos!$A$2:$K$102,Formulas!E96,Formulas!F96+2),"")))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21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IFERROR(INDEX(Datos!$A$2:$K$102,Formulas!I95,RIGHT(Formulas!K95)+2),"")))</f>
        <v/>
      </c>
      <c r="J98" s="121" t="str" cm="1">
        <f t="array" aca="1" ref="J98" ca="1">IF(OR(Formulas!K96=0,Formulas!K96=""),"",HYPERLINK("["&amp;Archivo_Nombre&amp;"]Datos!"&amp;LEFT(SUBSTITUTE(ADDRESS(1,Formulas!K96+2),"$",""))&amp;Formulas!J96+1,
IFERROR(INDEX(Datos!$A$2:$K$102,Formulas!J96,Formulas!K96+2),"")))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21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IFERROR(INDEX(Datos!$A$2:$K$102,Formulas!N95,RIGHT(Formulas!P95)+2),"")))</f>
        <v/>
      </c>
      <c r="O98" s="121" t="str" cm="1">
        <f t="array" aca="1" ref="O98" ca="1">IF(OR(Formulas!P96=0,Formulas!P96=""),"",HYPERLINK("["&amp;Archivo_Nombre&amp;"]Datos!"&amp;LEFT(SUBSTITUTE(ADDRESS(1,Formulas!P96+2),"$",""))&amp;Formulas!O96+1,
IFERROR(INDEX(Datos!$A$2:$K$102,Formulas!O96,Formulas!P96+2),"")))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21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IFERROR(INDEX(Datos!$A$2:$K$102,Formulas!S95,RIGHT(Formulas!U95)+2),"")))</f>
        <v>46005</v>
      </c>
      <c r="T98" s="121" t="e" cm="1">
        <f t="array" aca="1" ref="T98" ca="1">IF(OR(Formulas!U96=0,Formulas!U96=""),"",HYPERLINK("["&amp;Archivo_Nombre&amp;"]Datos!"&amp;LEFT(SUBSTITUTE(ADDRESS(1,Formulas!U96+2),"$",""))&amp;Formulas!T96+1,
IFERROR(INDEX(Datos!$A$2:$K$102,Formulas!T96,Formulas!U96+2),"")))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21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IFERROR(INDEX(Datos!$A$2:$K$102,Formulas!X95,RIGHT(Formulas!Z95)+2),"")))</f>
        <v/>
      </c>
      <c r="Y98" s="121" t="str" cm="1">
        <f t="array" aca="1" ref="Y98" ca="1">IF(OR(Formulas!Z96=0,Formulas!Z96=""),"",HYPERLINK("["&amp;Archivo_Nombre&amp;"]Datos!"&amp;LEFT(SUBSTITUTE(ADDRESS(1,Formulas!Z96+2),"$",""))&amp;Formulas!Y96+1,
IFERROR(INDEX(Datos!$A$2:$K$102,Formulas!Y96,Formulas!Z96+2),"")))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21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IFERROR(INDEX(Datos!$A$2:$K$102,Formulas!AC95,RIGHT(Formulas!AE95)+2),"")))</f>
        <v/>
      </c>
      <c r="AD98" s="121" t="str" cm="1">
        <f t="array" aca="1" ref="AD98" ca="1">IF(OR(Formulas!AE96=0,Formulas!AE96=""),"",HYPERLINK("["&amp;Archivo_Nombre&amp;"]Datos!"&amp;LEFT(SUBSTITUTE(ADDRESS(1,Formulas!AE96+2),"$",""))&amp;Formulas!AD96+1,
IFERROR(INDEX(Datos!$A$2:$K$102,Formulas!AD96,Formulas!AE96+2),"")))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21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IFERROR(INDEX(Datos!$A$2:$K$102,Formulas!AH95,RIGHT(Formulas!AJ95)+2),"")))</f>
        <v/>
      </c>
      <c r="AI98" s="121" t="str" cm="1">
        <f t="array" aca="1" ref="AI98" ca="1">IF(OR(Formulas!AJ96=0,Formulas!AJ96=""),"",HYPERLINK("["&amp;Archivo_Nombre&amp;"]Datos!"&amp;LEFT(SUBSTITUTE(ADDRESS(1,Formulas!AJ96+2),"$",""))&amp;Formulas!AI96+1,
IFERROR(INDEX(Datos!$A$2:$K$102,Formulas!AI96,Formulas!AJ96+2),"")))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21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IFERROR(INDEX(Datos!$A$2:$K$102,Formulas!AM95,RIGHT(Formulas!AO95)+2),"")))</f>
        <v/>
      </c>
      <c r="AN98" s="121" t="str" cm="1">
        <f t="array" aca="1" ref="AN98" ca="1">IF(OR(Formulas!AO96=0,Formulas!AO96=""),"",HYPERLINK("["&amp;Archivo_Nombre&amp;"]Datos!"&amp;LEFT(SUBSTITUTE(ADDRESS(1,Formulas!AO96+2),"$",""))&amp;Formulas!AN96+1,
IFERROR(INDEX(Datos!$A$2:$K$102,Formulas!AN96,Formulas!AO96+2),"")))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21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IFERROR(INDEX(Datos!$A$2:$K$102,Formulas!AR95,RIGHT(Formulas!AT95)+2),"")))</f>
        <v/>
      </c>
      <c r="AS98" s="121" t="str" cm="1">
        <f t="array" aca="1" ref="AS98" ca="1">IF(OR(Formulas!AT96=0,Formulas!AT96=""),"",HYPERLINK("["&amp;Archivo_Nombre&amp;"]Datos!"&amp;LEFT(SUBSTITUTE(ADDRESS(1,Formulas!AT96+2),"$",""))&amp;Formulas!AS96+1,
IFERROR(INDEX(Datos!$A$2:$K$102,Formulas!AS96,Formulas!AT96+2),"")))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21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IFERROR(INDEX(Datos!$A$2:$K$102,Formulas!AW95,RIGHT(Formulas!AY95)+2),"")))</f>
        <v/>
      </c>
      <c r="AX98" s="121" t="str" cm="1">
        <f t="array" aca="1" ref="AX98" ca="1">IF(OR(Formulas!AY96=0,Formulas!AY96=""),"",HYPERLINK("["&amp;Archivo_Nombre&amp;"]Datos!"&amp;LEFT(SUBSTITUTE(ADDRESS(1,Formulas!AY96+2),"$",""))&amp;Formulas!AX96+1,
IFERROR(INDEX(Datos!$A$2:$K$102,Formulas!AX96,Formulas!AY96+2),"")))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21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IFERROR(INDEX(Datos!$A$2:$K$102,Formulas!D96,RIGHT(Formulas!F96)+2),"")))</f>
        <v/>
      </c>
      <c r="E99" s="121" t="str" cm="1">
        <f t="array" aca="1" ref="E99" ca="1">IF(OR(Formulas!F97=0,Formulas!F97=""),"",HYPERLINK("["&amp;Archivo_Nombre&amp;"]Datos!"&amp;LEFT(SUBSTITUTE(ADDRESS(1,Formulas!F97+2),"$",""))&amp;Formulas!E97+1,
IFERROR(INDEX(Datos!$A$2:$K$102,Formulas!E97,Formulas!F97+2),"")))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21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IFERROR(INDEX(Datos!$A$2:$K$102,Formulas!I96,RIGHT(Formulas!K96)+2),"")))</f>
        <v/>
      </c>
      <c r="J99" s="121" t="str" cm="1">
        <f t="array" aca="1" ref="J99" ca="1">IF(OR(Formulas!K97=0,Formulas!K97=""),"",HYPERLINK("["&amp;Archivo_Nombre&amp;"]Datos!"&amp;LEFT(SUBSTITUTE(ADDRESS(1,Formulas!K97+2),"$",""))&amp;Formulas!J97+1,
IFERROR(INDEX(Datos!$A$2:$K$102,Formulas!J97,Formulas!K97+2),"")))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21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IFERROR(INDEX(Datos!$A$2:$K$102,Formulas!N96,RIGHT(Formulas!P96)+2),"")))</f>
        <v/>
      </c>
      <c r="O99" s="121" t="str" cm="1">
        <f t="array" aca="1" ref="O99" ca="1">IF(OR(Formulas!P97=0,Formulas!P97=""),"",HYPERLINK("["&amp;Archivo_Nombre&amp;"]Datos!"&amp;LEFT(SUBSTITUTE(ADDRESS(1,Formulas!P97+2),"$",""))&amp;Formulas!O97+1,
IFERROR(INDEX(Datos!$A$2:$K$102,Formulas!O97,Formulas!P97+2),"")))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21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IFERROR(INDEX(Datos!$A$2:$K$102,Formulas!S96,RIGHT(Formulas!U96)+2),"")))</f>
        <v>46005</v>
      </c>
      <c r="T99" s="121" t="e" cm="1">
        <f t="array" aca="1" ref="T99" ca="1">IF(OR(Formulas!U97=0,Formulas!U97=""),"",HYPERLINK("["&amp;Archivo_Nombre&amp;"]Datos!"&amp;LEFT(SUBSTITUTE(ADDRESS(1,Formulas!U97+2),"$",""))&amp;Formulas!T97+1,
IFERROR(INDEX(Datos!$A$2:$K$102,Formulas!T97,Formulas!U97+2),"")))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21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IFERROR(INDEX(Datos!$A$2:$K$102,Formulas!X96,RIGHT(Formulas!Z96)+2),"")))</f>
        <v/>
      </c>
      <c r="Y99" s="121" t="str" cm="1">
        <f t="array" aca="1" ref="Y99" ca="1">IF(OR(Formulas!Z97=0,Formulas!Z97=""),"",HYPERLINK("["&amp;Archivo_Nombre&amp;"]Datos!"&amp;LEFT(SUBSTITUTE(ADDRESS(1,Formulas!Z97+2),"$",""))&amp;Formulas!Y97+1,
IFERROR(INDEX(Datos!$A$2:$K$102,Formulas!Y97,Formulas!Z97+2),"")))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21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IFERROR(INDEX(Datos!$A$2:$K$102,Formulas!AC96,RIGHT(Formulas!AE96)+2),"")))</f>
        <v/>
      </c>
      <c r="AD99" s="121" t="str" cm="1">
        <f t="array" aca="1" ref="AD99" ca="1">IF(OR(Formulas!AE97=0,Formulas!AE97=""),"",HYPERLINK("["&amp;Archivo_Nombre&amp;"]Datos!"&amp;LEFT(SUBSTITUTE(ADDRESS(1,Formulas!AE97+2),"$",""))&amp;Formulas!AD97+1,
IFERROR(INDEX(Datos!$A$2:$K$102,Formulas!AD97,Formulas!AE97+2),"")))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21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IFERROR(INDEX(Datos!$A$2:$K$102,Formulas!AH96,RIGHT(Formulas!AJ96)+2),"")))</f>
        <v/>
      </c>
      <c r="AI99" s="121" t="str" cm="1">
        <f t="array" aca="1" ref="AI99" ca="1">IF(OR(Formulas!AJ97=0,Formulas!AJ97=""),"",HYPERLINK("["&amp;Archivo_Nombre&amp;"]Datos!"&amp;LEFT(SUBSTITUTE(ADDRESS(1,Formulas!AJ97+2),"$",""))&amp;Formulas!AI97+1,
IFERROR(INDEX(Datos!$A$2:$K$102,Formulas!AI97,Formulas!AJ97+2),"")))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21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IFERROR(INDEX(Datos!$A$2:$K$102,Formulas!AM96,RIGHT(Formulas!AO96)+2),"")))</f>
        <v/>
      </c>
      <c r="AN99" s="121" t="str" cm="1">
        <f t="array" aca="1" ref="AN99" ca="1">IF(OR(Formulas!AO97=0,Formulas!AO97=""),"",HYPERLINK("["&amp;Archivo_Nombre&amp;"]Datos!"&amp;LEFT(SUBSTITUTE(ADDRESS(1,Formulas!AO97+2),"$",""))&amp;Formulas!AN97+1,
IFERROR(INDEX(Datos!$A$2:$K$102,Formulas!AN97,Formulas!AO97+2),"")))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21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IFERROR(INDEX(Datos!$A$2:$K$102,Formulas!AR96,RIGHT(Formulas!AT96)+2),"")))</f>
        <v/>
      </c>
      <c r="AS99" s="121" t="str" cm="1">
        <f t="array" aca="1" ref="AS99" ca="1">IF(OR(Formulas!AT97=0,Formulas!AT97=""),"",HYPERLINK("["&amp;Archivo_Nombre&amp;"]Datos!"&amp;LEFT(SUBSTITUTE(ADDRESS(1,Formulas!AT97+2),"$",""))&amp;Formulas!AS97+1,
IFERROR(INDEX(Datos!$A$2:$K$102,Formulas!AS97,Formulas!AT97+2),"")))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21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IFERROR(INDEX(Datos!$A$2:$K$102,Formulas!AW96,RIGHT(Formulas!AY96)+2),"")))</f>
        <v/>
      </c>
      <c r="AX99" s="121" t="str" cm="1">
        <f t="array" aca="1" ref="AX99" ca="1">IF(OR(Formulas!AY97=0,Formulas!AY97=""),"",HYPERLINK("["&amp;Archivo_Nombre&amp;"]Datos!"&amp;LEFT(SUBSTITUTE(ADDRESS(1,Formulas!AY97+2),"$",""))&amp;Formulas!AX97+1,
IFERROR(INDEX(Datos!$A$2:$K$102,Formulas!AX97,Formulas!AY97+2),"")))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21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IFERROR(INDEX(Datos!$A$2:$K$102,Formulas!D97,RIGHT(Formulas!F97)+2),"")))</f>
        <v/>
      </c>
      <c r="E100" s="121" t="str" cm="1">
        <f t="array" aca="1" ref="E100" ca="1">IF(OR(Formulas!F98=0,Formulas!F98=""),"",HYPERLINK("["&amp;Archivo_Nombre&amp;"]Datos!"&amp;LEFT(SUBSTITUTE(ADDRESS(1,Formulas!F98+2),"$",""))&amp;Formulas!E98+1,
IFERROR(INDEX(Datos!$A$2:$K$102,Formulas!E98,Formulas!F98+2),"")))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21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IFERROR(INDEX(Datos!$A$2:$K$102,Formulas!I97,RIGHT(Formulas!K97)+2),"")))</f>
        <v/>
      </c>
      <c r="J100" s="121" t="str" cm="1">
        <f t="array" aca="1" ref="J100" ca="1">IF(OR(Formulas!K98=0,Formulas!K98=""),"",HYPERLINK("["&amp;Archivo_Nombre&amp;"]Datos!"&amp;LEFT(SUBSTITUTE(ADDRESS(1,Formulas!K98+2),"$",""))&amp;Formulas!J98+1,
IFERROR(INDEX(Datos!$A$2:$K$102,Formulas!J98,Formulas!K98+2),"")))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21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IFERROR(INDEX(Datos!$A$2:$K$102,Formulas!N97,RIGHT(Formulas!P97)+2),"")))</f>
        <v/>
      </c>
      <c r="O100" s="121" t="str" cm="1">
        <f t="array" aca="1" ref="O100" ca="1">IF(OR(Formulas!P98=0,Formulas!P98=""),"",HYPERLINK("["&amp;Archivo_Nombre&amp;"]Datos!"&amp;LEFT(SUBSTITUTE(ADDRESS(1,Formulas!P98+2),"$",""))&amp;Formulas!O98+1,
IFERROR(INDEX(Datos!$A$2:$K$102,Formulas!O98,Formulas!P98+2),"")))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21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IFERROR(INDEX(Datos!$A$2:$K$102,Formulas!S97,RIGHT(Formulas!U97)+2),"")))</f>
        <v>46005</v>
      </c>
      <c r="T100" s="121" t="e" cm="1">
        <f t="array" aca="1" ref="T100" ca="1">IF(OR(Formulas!U98=0,Formulas!U98=""),"",HYPERLINK("["&amp;Archivo_Nombre&amp;"]Datos!"&amp;LEFT(SUBSTITUTE(ADDRESS(1,Formulas!U98+2),"$",""))&amp;Formulas!T98+1,
IFERROR(INDEX(Datos!$A$2:$K$102,Formulas!T98,Formulas!U98+2),"")))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21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IFERROR(INDEX(Datos!$A$2:$K$102,Formulas!X97,RIGHT(Formulas!Z97)+2),"")))</f>
        <v/>
      </c>
      <c r="Y100" s="121" t="str" cm="1">
        <f t="array" aca="1" ref="Y100" ca="1">IF(OR(Formulas!Z98=0,Formulas!Z98=""),"",HYPERLINK("["&amp;Archivo_Nombre&amp;"]Datos!"&amp;LEFT(SUBSTITUTE(ADDRESS(1,Formulas!Z98+2),"$",""))&amp;Formulas!Y98+1,
IFERROR(INDEX(Datos!$A$2:$K$102,Formulas!Y98,Formulas!Z98+2),"")))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21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IFERROR(INDEX(Datos!$A$2:$K$102,Formulas!AC97,RIGHT(Formulas!AE97)+2),"")))</f>
        <v/>
      </c>
      <c r="AD100" s="121" t="str" cm="1">
        <f t="array" aca="1" ref="AD100" ca="1">IF(OR(Formulas!AE98=0,Formulas!AE98=""),"",HYPERLINK("["&amp;Archivo_Nombre&amp;"]Datos!"&amp;LEFT(SUBSTITUTE(ADDRESS(1,Formulas!AE98+2),"$",""))&amp;Formulas!AD98+1,
IFERROR(INDEX(Datos!$A$2:$K$102,Formulas!AD98,Formulas!AE98+2),"")))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21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IFERROR(INDEX(Datos!$A$2:$K$102,Formulas!AH97,RIGHT(Formulas!AJ97)+2),"")))</f>
        <v/>
      </c>
      <c r="AI100" s="121" t="str" cm="1">
        <f t="array" aca="1" ref="AI100" ca="1">IF(OR(Formulas!AJ98=0,Formulas!AJ98=""),"",HYPERLINK("["&amp;Archivo_Nombre&amp;"]Datos!"&amp;LEFT(SUBSTITUTE(ADDRESS(1,Formulas!AJ98+2),"$",""))&amp;Formulas!AI98+1,
IFERROR(INDEX(Datos!$A$2:$K$102,Formulas!AI98,Formulas!AJ98+2),"")))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21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IFERROR(INDEX(Datos!$A$2:$K$102,Formulas!AM97,RIGHT(Formulas!AO97)+2),"")))</f>
        <v/>
      </c>
      <c r="AN100" s="121" t="str" cm="1">
        <f t="array" aca="1" ref="AN100" ca="1">IF(OR(Formulas!AO98=0,Formulas!AO98=""),"",HYPERLINK("["&amp;Archivo_Nombre&amp;"]Datos!"&amp;LEFT(SUBSTITUTE(ADDRESS(1,Formulas!AO98+2),"$",""))&amp;Formulas!AN98+1,
IFERROR(INDEX(Datos!$A$2:$K$102,Formulas!AN98,Formulas!AO98+2),"")))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21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IFERROR(INDEX(Datos!$A$2:$K$102,Formulas!AR97,RIGHT(Formulas!AT97)+2),"")))</f>
        <v/>
      </c>
      <c r="AS100" s="121" t="str" cm="1">
        <f t="array" aca="1" ref="AS100" ca="1">IF(OR(Formulas!AT98=0,Formulas!AT98=""),"",HYPERLINK("["&amp;Archivo_Nombre&amp;"]Datos!"&amp;LEFT(SUBSTITUTE(ADDRESS(1,Formulas!AT98+2),"$",""))&amp;Formulas!AS98+1,
IFERROR(INDEX(Datos!$A$2:$K$102,Formulas!AS98,Formulas!AT98+2),"")))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21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IFERROR(INDEX(Datos!$A$2:$K$102,Formulas!AW97,RIGHT(Formulas!AY97)+2),"")))</f>
        <v/>
      </c>
      <c r="AX100" s="121" t="str" cm="1">
        <f t="array" aca="1" ref="AX100" ca="1">IF(OR(Formulas!AY98=0,Formulas!AY98=""),"",HYPERLINK("["&amp;Archivo_Nombre&amp;"]Datos!"&amp;LEFT(SUBSTITUTE(ADDRESS(1,Formulas!AY98+2),"$",""))&amp;Formulas!AX98+1,
IFERROR(INDEX(Datos!$A$2:$K$102,Formulas!AX98,Formulas!AY98+2),"")))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21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IFERROR(INDEX(Datos!$A$2:$K$102,Formulas!D98,RIGHT(Formulas!F98)+2),"")))</f>
        <v/>
      </c>
      <c r="E101" s="121" t="str" cm="1">
        <f t="array" aca="1" ref="E101" ca="1">IF(OR(Formulas!F99=0,Formulas!F99=""),"",HYPERLINK("["&amp;Archivo_Nombre&amp;"]Datos!"&amp;LEFT(SUBSTITUTE(ADDRESS(1,Formulas!F99+2),"$",""))&amp;Formulas!E99+1,
IFERROR(INDEX(Datos!$A$2:$K$102,Formulas!E99,Formulas!F99+2),"")))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21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IFERROR(INDEX(Datos!$A$2:$K$102,Formulas!I98,RIGHT(Formulas!K98)+2),"")))</f>
        <v/>
      </c>
      <c r="J101" s="121" t="str" cm="1">
        <f t="array" aca="1" ref="J101" ca="1">IF(OR(Formulas!K99=0,Formulas!K99=""),"",HYPERLINK("["&amp;Archivo_Nombre&amp;"]Datos!"&amp;LEFT(SUBSTITUTE(ADDRESS(1,Formulas!K99+2),"$",""))&amp;Formulas!J99+1,
IFERROR(INDEX(Datos!$A$2:$K$102,Formulas!J99,Formulas!K99+2),"")))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21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IFERROR(INDEX(Datos!$A$2:$K$102,Formulas!N98,RIGHT(Formulas!P98)+2),"")))</f>
        <v/>
      </c>
      <c r="O101" s="121" t="str" cm="1">
        <f t="array" aca="1" ref="O101" ca="1">IF(OR(Formulas!P99=0,Formulas!P99=""),"",HYPERLINK("["&amp;Archivo_Nombre&amp;"]Datos!"&amp;LEFT(SUBSTITUTE(ADDRESS(1,Formulas!P99+2),"$",""))&amp;Formulas!O99+1,
IFERROR(INDEX(Datos!$A$2:$K$102,Formulas!O99,Formulas!P99+2),"")))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21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IFERROR(INDEX(Datos!$A$2:$K$102,Formulas!S98,RIGHT(Formulas!U98)+2),"")))</f>
        <v>1 días</v>
      </c>
      <c r="T101" s="121" t="e" cm="1">
        <f t="array" aca="1" ref="T101" ca="1">IF(OR(Formulas!U99=0,Formulas!U99=""),"",HYPERLINK("["&amp;Archivo_Nombre&amp;"]Datos!"&amp;LEFT(SUBSTITUTE(ADDRESS(1,Formulas!U99+2),"$",""))&amp;Formulas!T99+1,
IFERROR(INDEX(Datos!$A$2:$K$102,Formulas!T99,Formulas!U99+2),"")))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21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IFERROR(INDEX(Datos!$A$2:$K$102,Formulas!X98,RIGHT(Formulas!Z98)+2),"")))</f>
        <v/>
      </c>
      <c r="Y101" s="121" t="str" cm="1">
        <f t="array" aca="1" ref="Y101" ca="1">IF(OR(Formulas!Z99=0,Formulas!Z99=""),"",HYPERLINK("["&amp;Archivo_Nombre&amp;"]Datos!"&amp;LEFT(SUBSTITUTE(ADDRESS(1,Formulas!Z99+2),"$",""))&amp;Formulas!Y99+1,
IFERROR(INDEX(Datos!$A$2:$K$102,Formulas!Y99,Formulas!Z99+2),"")))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21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IFERROR(INDEX(Datos!$A$2:$K$102,Formulas!AC98,RIGHT(Formulas!AE98)+2),"")))</f>
        <v/>
      </c>
      <c r="AD101" s="121" t="str" cm="1">
        <f t="array" aca="1" ref="AD101" ca="1">IF(OR(Formulas!AE99=0,Formulas!AE99=""),"",HYPERLINK("["&amp;Archivo_Nombre&amp;"]Datos!"&amp;LEFT(SUBSTITUTE(ADDRESS(1,Formulas!AE99+2),"$",""))&amp;Formulas!AD99+1,
IFERROR(INDEX(Datos!$A$2:$K$102,Formulas!AD99,Formulas!AE99+2),"")))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21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IFERROR(INDEX(Datos!$A$2:$K$102,Formulas!AH98,RIGHT(Formulas!AJ98)+2),"")))</f>
        <v/>
      </c>
      <c r="AI101" s="121" t="str" cm="1">
        <f t="array" aca="1" ref="AI101" ca="1">IF(OR(Formulas!AJ99=0,Formulas!AJ99=""),"",HYPERLINK("["&amp;Archivo_Nombre&amp;"]Datos!"&amp;LEFT(SUBSTITUTE(ADDRESS(1,Formulas!AJ99+2),"$",""))&amp;Formulas!AI99+1,
IFERROR(INDEX(Datos!$A$2:$K$102,Formulas!AI99,Formulas!AJ99+2),"")))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21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IFERROR(INDEX(Datos!$A$2:$K$102,Formulas!AM98,RIGHT(Formulas!AO98)+2),"")))</f>
        <v/>
      </c>
      <c r="AN101" s="121" t="str" cm="1">
        <f t="array" aca="1" ref="AN101" ca="1">IF(OR(Formulas!AO99=0,Formulas!AO99=""),"",HYPERLINK("["&amp;Archivo_Nombre&amp;"]Datos!"&amp;LEFT(SUBSTITUTE(ADDRESS(1,Formulas!AO99+2),"$",""))&amp;Formulas!AN99+1,
IFERROR(INDEX(Datos!$A$2:$K$102,Formulas!AN99,Formulas!AO99+2),"")))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21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IFERROR(INDEX(Datos!$A$2:$K$102,Formulas!AR98,RIGHT(Formulas!AT98)+2),"")))</f>
        <v/>
      </c>
      <c r="AS101" s="121" t="str" cm="1">
        <f t="array" aca="1" ref="AS101" ca="1">IF(OR(Formulas!AT99=0,Formulas!AT99=""),"",HYPERLINK("["&amp;Archivo_Nombre&amp;"]Datos!"&amp;LEFT(SUBSTITUTE(ADDRESS(1,Formulas!AT99+2),"$",""))&amp;Formulas!AS99+1,
IFERROR(INDEX(Datos!$A$2:$K$102,Formulas!AS99,Formulas!AT99+2),"")))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21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IFERROR(INDEX(Datos!$A$2:$K$102,Formulas!AW98,RIGHT(Formulas!AY98)+2),"")))</f>
        <v/>
      </c>
      <c r="AX101" s="121" t="str" cm="1">
        <f t="array" aca="1" ref="AX101" ca="1">IF(OR(Formulas!AY99=0,Formulas!AY99=""),"",HYPERLINK("["&amp;Archivo_Nombre&amp;"]Datos!"&amp;LEFT(SUBSTITUTE(ADDRESS(1,Formulas!AY99+2),"$",""))&amp;Formulas!AX99+1,
IFERROR(INDEX(Datos!$A$2:$K$102,Formulas!AX99,Formulas!AY99+2),"")))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21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IFERROR(INDEX(Datos!$A$2:$K$102,Formulas!D99,RIGHT(Formulas!F99)+2),"")))</f>
        <v/>
      </c>
      <c r="E102" s="121" t="str" cm="1">
        <f t="array" aca="1" ref="E102" ca="1">IF(OR(Formulas!F100=0,Formulas!F100=""),"",HYPERLINK("["&amp;Archivo_Nombre&amp;"]Datos!"&amp;LEFT(SUBSTITUTE(ADDRESS(1,Formulas!F100+2),"$",""))&amp;Formulas!E100+1,
IFERROR(INDEX(Datos!$A$2:$K$102,Formulas!E100,Formulas!F100+2),"")))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21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IFERROR(INDEX(Datos!$A$2:$K$102,Formulas!I99,RIGHT(Formulas!K99)+2),"")))</f>
        <v/>
      </c>
      <c r="J102" s="121" t="str" cm="1">
        <f t="array" aca="1" ref="J102" ca="1">IF(OR(Formulas!K100=0,Formulas!K100=""),"",HYPERLINK("["&amp;Archivo_Nombre&amp;"]Datos!"&amp;LEFT(SUBSTITUTE(ADDRESS(1,Formulas!K100+2),"$",""))&amp;Formulas!J100+1,
IFERROR(INDEX(Datos!$A$2:$K$102,Formulas!J100,Formulas!K100+2),"")))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21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IFERROR(INDEX(Datos!$A$2:$K$102,Formulas!N99,RIGHT(Formulas!P99)+2),"")))</f>
        <v/>
      </c>
      <c r="O102" s="121" t="str" cm="1">
        <f t="array" aca="1" ref="O102" ca="1">IF(OR(Formulas!P100=0,Formulas!P100=""),"",HYPERLINK("["&amp;Archivo_Nombre&amp;"]Datos!"&amp;LEFT(SUBSTITUTE(ADDRESS(1,Formulas!P100+2),"$",""))&amp;Formulas!O100+1,
IFERROR(INDEX(Datos!$A$2:$K$102,Formulas!O100,Formulas!P100+2),"")))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21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IFERROR(INDEX(Datos!$A$2:$K$102,Formulas!S99,RIGHT(Formulas!U99)+2),"")))</f>
        <v>0 días</v>
      </c>
      <c r="T102" s="121" t="e" cm="1">
        <f t="array" aca="1" ref="T102" ca="1">IF(OR(Formulas!U100=0,Formulas!U100=""),"",HYPERLINK("["&amp;Archivo_Nombre&amp;"]Datos!"&amp;LEFT(SUBSTITUTE(ADDRESS(1,Formulas!U100+2),"$",""))&amp;Formulas!T100+1,
IFERROR(INDEX(Datos!$A$2:$K$102,Formulas!T100,Formulas!U100+2),"")))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21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IFERROR(INDEX(Datos!$A$2:$K$102,Formulas!X99,RIGHT(Formulas!Z99)+2),"")))</f>
        <v/>
      </c>
      <c r="Y102" s="121" t="str" cm="1">
        <f t="array" aca="1" ref="Y102" ca="1">IF(OR(Formulas!Z100=0,Formulas!Z100=""),"",HYPERLINK("["&amp;Archivo_Nombre&amp;"]Datos!"&amp;LEFT(SUBSTITUTE(ADDRESS(1,Formulas!Z100+2),"$",""))&amp;Formulas!Y100+1,
IFERROR(INDEX(Datos!$A$2:$K$102,Formulas!Y100,Formulas!Z100+2),"")))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21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IFERROR(INDEX(Datos!$A$2:$K$102,Formulas!AC99,RIGHT(Formulas!AE99)+2),"")))</f>
        <v/>
      </c>
      <c r="AD102" s="121" t="str" cm="1">
        <f t="array" aca="1" ref="AD102" ca="1">IF(OR(Formulas!AE100=0,Formulas!AE100=""),"",HYPERLINK("["&amp;Archivo_Nombre&amp;"]Datos!"&amp;LEFT(SUBSTITUTE(ADDRESS(1,Formulas!AE100+2),"$",""))&amp;Formulas!AD100+1,
IFERROR(INDEX(Datos!$A$2:$K$102,Formulas!AD100,Formulas!AE100+2),"")))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21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IFERROR(INDEX(Datos!$A$2:$K$102,Formulas!AH99,RIGHT(Formulas!AJ99)+2),"")))</f>
        <v/>
      </c>
      <c r="AI102" s="121" t="str" cm="1">
        <f t="array" aca="1" ref="AI102" ca="1">IF(OR(Formulas!AJ100=0,Formulas!AJ100=""),"",HYPERLINK("["&amp;Archivo_Nombre&amp;"]Datos!"&amp;LEFT(SUBSTITUTE(ADDRESS(1,Formulas!AJ100+2),"$",""))&amp;Formulas!AI100+1,
IFERROR(INDEX(Datos!$A$2:$K$102,Formulas!AI100,Formulas!AJ100+2),"")))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21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IFERROR(INDEX(Datos!$A$2:$K$102,Formulas!AM99,RIGHT(Formulas!AO99)+2),"")))</f>
        <v/>
      </c>
      <c r="AN102" s="121" t="str" cm="1">
        <f t="array" aca="1" ref="AN102" ca="1">IF(OR(Formulas!AO100=0,Formulas!AO100=""),"",HYPERLINK("["&amp;Archivo_Nombre&amp;"]Datos!"&amp;LEFT(SUBSTITUTE(ADDRESS(1,Formulas!AO100+2),"$",""))&amp;Formulas!AN100+1,
IFERROR(INDEX(Datos!$A$2:$K$102,Formulas!AN100,Formulas!AO100+2),"")))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21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IFERROR(INDEX(Datos!$A$2:$K$102,Formulas!AR99,RIGHT(Formulas!AT99)+2),"")))</f>
        <v/>
      </c>
      <c r="AS102" s="121" t="str" cm="1">
        <f t="array" aca="1" ref="AS102" ca="1">IF(OR(Formulas!AT100=0,Formulas!AT100=""),"",HYPERLINK("["&amp;Archivo_Nombre&amp;"]Datos!"&amp;LEFT(SUBSTITUTE(ADDRESS(1,Formulas!AT100+2),"$",""))&amp;Formulas!AS100+1,
IFERROR(INDEX(Datos!$A$2:$K$102,Formulas!AS100,Formulas!AT100+2),"")))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21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IFERROR(INDEX(Datos!$A$2:$K$102,Formulas!AW99,RIGHT(Formulas!AY99)+2),"")))</f>
        <v/>
      </c>
      <c r="AX102" s="121" t="str" cm="1">
        <f t="array" aca="1" ref="AX102" ca="1">IF(OR(Formulas!AY100=0,Formulas!AY100=""),"",HYPERLINK("["&amp;Archivo_Nombre&amp;"]Datos!"&amp;LEFT(SUBSTITUTE(ADDRESS(1,Formulas!AY100+2),"$",""))&amp;Formulas!AX100+1,
IFERROR(INDEX(Datos!$A$2:$K$102,Formulas!AX100,Formulas!AY100+2),"")))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21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IFERROR(INDEX(Datos!$A$2:$K$102,Formulas!D100,RIGHT(Formulas!F100)+2),"")))</f>
        <v/>
      </c>
      <c r="E103" s="121" t="str" cm="1">
        <f t="array" aca="1" ref="E103" ca="1">IF(OR(Formulas!F101=0,Formulas!F101=""),"",HYPERLINK("["&amp;Archivo_Nombre&amp;"]Datos!"&amp;LEFT(SUBSTITUTE(ADDRESS(1,Formulas!F101+2),"$",""))&amp;Formulas!E101+1,
IFERROR(INDEX(Datos!$A$2:$K$102,Formulas!E101,Formulas!F101+2),"")))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21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IFERROR(INDEX(Datos!$A$2:$K$102,Formulas!I100,RIGHT(Formulas!K100)+2),"")))</f>
        <v/>
      </c>
      <c r="J103" s="121" t="str" cm="1">
        <f t="array" aca="1" ref="J103" ca="1">IF(OR(Formulas!K101=0,Formulas!K101=""),"",HYPERLINK("["&amp;Archivo_Nombre&amp;"]Datos!"&amp;LEFT(SUBSTITUTE(ADDRESS(1,Formulas!K101+2),"$",""))&amp;Formulas!J101+1,
IFERROR(INDEX(Datos!$A$2:$K$102,Formulas!J101,Formulas!K101+2),"")))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21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IFERROR(INDEX(Datos!$A$2:$K$102,Formulas!N100,RIGHT(Formulas!P100)+2),"")))</f>
        <v/>
      </c>
      <c r="O103" s="121" t="str" cm="1">
        <f t="array" aca="1" ref="O103" ca="1">IF(OR(Formulas!P101=0,Formulas!P101=""),"",HYPERLINK("["&amp;Archivo_Nombre&amp;"]Datos!"&amp;LEFT(SUBSTITUTE(ADDRESS(1,Formulas!P101+2),"$",""))&amp;Formulas!O101+1,
IFERROR(INDEX(Datos!$A$2:$K$102,Formulas!O101,Formulas!P101+2),"")))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21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IFERROR(INDEX(Datos!$A$2:$K$102,Formulas!S100,RIGHT(Formulas!U100)+2),"")))</f>
        <v>Ing. Jenny Ruiz</v>
      </c>
      <c r="T103" s="121" t="str" cm="1">
        <f t="array" aca="1" ref="T103" ca="1">IF(OR(Formulas!U101=0,Formulas!U101=""),"",HYPERLINK("["&amp;Archivo_Nombre&amp;"]Datos!"&amp;LEFT(SUBSTITUTE(ADDRESS(1,Formulas!U101+2),"$",""))&amp;Formulas!T101+1,
IFERROR(INDEX(Datos!$A$2:$K$102,Formulas!T101,Formulas!U101+2),"")))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21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IFERROR(INDEX(Datos!$A$2:$K$102,Formulas!X100,RIGHT(Formulas!Z100)+2),"")))</f>
        <v/>
      </c>
      <c r="Y103" s="121" t="str" cm="1">
        <f t="array" aca="1" ref="Y103" ca="1">IF(OR(Formulas!Z101=0,Formulas!Z101=""),"",HYPERLINK("["&amp;Archivo_Nombre&amp;"]Datos!"&amp;LEFT(SUBSTITUTE(ADDRESS(1,Formulas!Z101+2),"$",""))&amp;Formulas!Y101+1,
IFERROR(INDEX(Datos!$A$2:$K$102,Formulas!Y101,Formulas!Z101+2),"")))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21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IFERROR(INDEX(Datos!$A$2:$K$102,Formulas!AC100,RIGHT(Formulas!AE100)+2),"")))</f>
        <v/>
      </c>
      <c r="AD103" s="121" t="str" cm="1">
        <f t="array" aca="1" ref="AD103" ca="1">IF(OR(Formulas!AE101=0,Formulas!AE101=""),"",HYPERLINK("["&amp;Archivo_Nombre&amp;"]Datos!"&amp;LEFT(SUBSTITUTE(ADDRESS(1,Formulas!AE101+2),"$",""))&amp;Formulas!AD101+1,
IFERROR(INDEX(Datos!$A$2:$K$102,Formulas!AD101,Formulas!AE101+2),"")))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21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IFERROR(INDEX(Datos!$A$2:$K$102,Formulas!AH100,RIGHT(Formulas!AJ100)+2),"")))</f>
        <v/>
      </c>
      <c r="AI103" s="121" t="str" cm="1">
        <f t="array" aca="1" ref="AI103" ca="1">IF(OR(Formulas!AJ101=0,Formulas!AJ101=""),"",HYPERLINK("["&amp;Archivo_Nombre&amp;"]Datos!"&amp;LEFT(SUBSTITUTE(ADDRESS(1,Formulas!AJ101+2),"$",""))&amp;Formulas!AI101+1,
IFERROR(INDEX(Datos!$A$2:$K$102,Formulas!AI101,Formulas!AJ101+2),"")))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21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IFERROR(INDEX(Datos!$A$2:$K$102,Formulas!AM100,RIGHT(Formulas!AO100)+2),"")))</f>
        <v/>
      </c>
      <c r="AN103" s="121" t="str" cm="1">
        <f t="array" aca="1" ref="AN103" ca="1">IF(OR(Formulas!AO101=0,Formulas!AO101=""),"",HYPERLINK("["&amp;Archivo_Nombre&amp;"]Datos!"&amp;LEFT(SUBSTITUTE(ADDRESS(1,Formulas!AO101+2),"$",""))&amp;Formulas!AN101+1,
IFERROR(INDEX(Datos!$A$2:$K$102,Formulas!AN101,Formulas!AO101+2),"")))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21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IFERROR(INDEX(Datos!$A$2:$K$102,Formulas!AR100,RIGHT(Formulas!AT100)+2),"")))</f>
        <v/>
      </c>
      <c r="AS103" s="121" t="str" cm="1">
        <f t="array" aca="1" ref="AS103" ca="1">IF(OR(Formulas!AT101=0,Formulas!AT101=""),"",HYPERLINK("["&amp;Archivo_Nombre&amp;"]Datos!"&amp;LEFT(SUBSTITUTE(ADDRESS(1,Formulas!AT101+2),"$",""))&amp;Formulas!AS101+1,
IFERROR(INDEX(Datos!$A$2:$K$102,Formulas!AS101,Formulas!AT101+2),"")))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21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IFERROR(INDEX(Datos!$A$2:$K$102,Formulas!AW100,RIGHT(Formulas!AY100)+2),"")))</f>
        <v/>
      </c>
      <c r="AX103" s="121" t="str" cm="1">
        <f t="array" aca="1" ref="AX103" ca="1">IF(OR(Formulas!AY101=0,Formulas!AY101=""),"",HYPERLINK("["&amp;Archivo_Nombre&amp;"]Datos!"&amp;LEFT(SUBSTITUTE(ADDRESS(1,Formulas!AY101+2),"$",""))&amp;Formulas!AX101+1,
IFERROR(INDEX(Datos!$A$2:$K$102,Formulas!AX101,Formulas!AY101+2),"")))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21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IFERROR(INDEX(Datos!$A$2:$K$102,Formulas!D101,RIGHT(Formulas!F101)+2),"")))</f>
        <v/>
      </c>
      <c r="E104" s="121" t="str" cm="1">
        <f t="array" aca="1" ref="E104" ca="1">IF(OR(Formulas!F102=0,Formulas!F102=""),"",HYPERLINK("["&amp;Archivo_Nombre&amp;"]Datos!"&amp;LEFT(SUBSTITUTE(ADDRESS(1,Formulas!F102+2),"$",""))&amp;Formulas!E102+1,
IFERROR(INDEX(Datos!$A$2:$K$102,Formulas!E102,Formulas!F102+2),"")))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21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IFERROR(INDEX(Datos!$A$2:$K$102,Formulas!I101,RIGHT(Formulas!K101)+2),"")))</f>
        <v/>
      </c>
      <c r="J104" s="121" t="str" cm="1">
        <f t="array" aca="1" ref="J104" ca="1">IF(OR(Formulas!K102=0,Formulas!K102=""),"",HYPERLINK("["&amp;Archivo_Nombre&amp;"]Datos!"&amp;LEFT(SUBSTITUTE(ADDRESS(1,Formulas!K102+2),"$",""))&amp;Formulas!J102+1,
IFERROR(INDEX(Datos!$A$2:$K$102,Formulas!J102,Formulas!K102+2),"")))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21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IFERROR(INDEX(Datos!$A$2:$K$102,Formulas!N101,RIGHT(Formulas!P101)+2),"")))</f>
        <v/>
      </c>
      <c r="O104" s="121" t="str" cm="1">
        <f t="array" aca="1" ref="O104" ca="1">IF(OR(Formulas!P102=0,Formulas!P102=""),"",HYPERLINK("["&amp;Archivo_Nombre&amp;"]Datos!"&amp;LEFT(SUBSTITUTE(ADDRESS(1,Formulas!P102+2),"$",""))&amp;Formulas!O102+1,
IFERROR(INDEX(Datos!$A$2:$K$102,Formulas!O102,Formulas!P102+2),"")))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21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IFERROR(INDEX(Datos!$A$2:$K$102,Formulas!S101,RIGHT(Formulas!U101)+2),"")))</f>
        <v/>
      </c>
      <c r="T104" s="121" t="e" cm="1">
        <f t="array" aca="1" ref="T104" ca="1">IF(OR(Formulas!U102=0,Formulas!U102=""),"",HYPERLINK("["&amp;Archivo_Nombre&amp;"]Datos!"&amp;LEFT(SUBSTITUTE(ADDRESS(1,Formulas!U102+2),"$",""))&amp;Formulas!T102+1,
IFERROR(INDEX(Datos!$A$2:$K$102,Formulas!T102,Formulas!U102+2),"")))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21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IFERROR(INDEX(Datos!$A$2:$K$102,Formulas!X101,RIGHT(Formulas!Z101)+2),"")))</f>
        <v/>
      </c>
      <c r="Y104" s="121" t="str" cm="1">
        <f t="array" aca="1" ref="Y104" ca="1">IF(OR(Formulas!Z102=0,Formulas!Z102=""),"",HYPERLINK("["&amp;Archivo_Nombre&amp;"]Datos!"&amp;LEFT(SUBSTITUTE(ADDRESS(1,Formulas!Z102+2),"$",""))&amp;Formulas!Y102+1,
IFERROR(INDEX(Datos!$A$2:$K$102,Formulas!Y102,Formulas!Z102+2),"")))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21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IFERROR(INDEX(Datos!$A$2:$K$102,Formulas!AC101,RIGHT(Formulas!AE101)+2),"")))</f>
        <v/>
      </c>
      <c r="AD104" s="121" t="str" cm="1">
        <f t="array" aca="1" ref="AD104" ca="1">IF(OR(Formulas!AE102=0,Formulas!AE102=""),"",HYPERLINK("["&amp;Archivo_Nombre&amp;"]Datos!"&amp;LEFT(SUBSTITUTE(ADDRESS(1,Formulas!AE102+2),"$",""))&amp;Formulas!AD102+1,
IFERROR(INDEX(Datos!$A$2:$K$102,Formulas!AD102,Formulas!AE102+2),"")))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21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IFERROR(INDEX(Datos!$A$2:$K$102,Formulas!AH101,RIGHT(Formulas!AJ101)+2),"")))</f>
        <v/>
      </c>
      <c r="AI104" s="121" t="str" cm="1">
        <f t="array" aca="1" ref="AI104" ca="1">IF(OR(Formulas!AJ102=0,Formulas!AJ102=""),"",HYPERLINK("["&amp;Archivo_Nombre&amp;"]Datos!"&amp;LEFT(SUBSTITUTE(ADDRESS(1,Formulas!AJ102+2),"$",""))&amp;Formulas!AI102+1,
IFERROR(INDEX(Datos!$A$2:$K$102,Formulas!AI102,Formulas!AJ102+2),"")))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21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IFERROR(INDEX(Datos!$A$2:$K$102,Formulas!AM101,RIGHT(Formulas!AO101)+2),"")))</f>
        <v/>
      </c>
      <c r="AN104" s="121" t="str" cm="1">
        <f t="array" aca="1" ref="AN104" ca="1">IF(OR(Formulas!AO102=0,Formulas!AO102=""),"",HYPERLINK("["&amp;Archivo_Nombre&amp;"]Datos!"&amp;LEFT(SUBSTITUTE(ADDRESS(1,Formulas!AO102+2),"$",""))&amp;Formulas!AN102+1,
IFERROR(INDEX(Datos!$A$2:$K$102,Formulas!AN102,Formulas!AO102+2),"")))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21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IFERROR(INDEX(Datos!$A$2:$K$102,Formulas!AR101,RIGHT(Formulas!AT101)+2),"")))</f>
        <v/>
      </c>
      <c r="AS104" s="121" t="str" cm="1">
        <f t="array" aca="1" ref="AS104" ca="1">IF(OR(Formulas!AT102=0,Formulas!AT102=""),"",HYPERLINK("["&amp;Archivo_Nombre&amp;"]Datos!"&amp;LEFT(SUBSTITUTE(ADDRESS(1,Formulas!AT102+2),"$",""))&amp;Formulas!AS102+1,
IFERROR(INDEX(Datos!$A$2:$K$102,Formulas!AS102,Formulas!AT102+2),"")))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21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IFERROR(INDEX(Datos!$A$2:$K$102,Formulas!AW101,RIGHT(Formulas!AY101)+2),"")))</f>
        <v/>
      </c>
      <c r="AX104" s="121" t="str" cm="1">
        <f t="array" aca="1" ref="AX104" ca="1">IF(OR(Formulas!AY102=0,Formulas!AY102=""),"",HYPERLINK("["&amp;Archivo_Nombre&amp;"]Datos!"&amp;LEFT(SUBSTITUTE(ADDRESS(1,Formulas!AY102+2),"$",""))&amp;Formulas!AX102+1,
IFERROR(INDEX(Datos!$A$2:$K$102,Formulas!AX102,Formulas!AY102+2),"")))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21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IFERROR(INDEX(Datos!$A$2:$K$102,Formulas!D102,RIGHT(Formulas!F102)+2),"")))</f>
        <v/>
      </c>
      <c r="E105" s="121" t="str" cm="1">
        <f t="array" aca="1" ref="E105" ca="1">IF(OR(Formulas!F103=0,Formulas!F103=""),"",HYPERLINK("["&amp;Archivo_Nombre&amp;"]Datos!"&amp;LEFT(SUBSTITUTE(ADDRESS(1,Formulas!F103+2),"$",""))&amp;Formulas!E103+1,
IFERROR(INDEX(Datos!$A$2:$K$102,Formulas!E103,Formulas!F103+2),"")))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21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IFERROR(INDEX(Datos!$A$2:$K$102,Formulas!I102,RIGHT(Formulas!K102)+2),"")))</f>
        <v/>
      </c>
      <c r="J105" s="121" t="str" cm="1">
        <f t="array" aca="1" ref="J105" ca="1">IF(OR(Formulas!K103=0,Formulas!K103=""),"",HYPERLINK("["&amp;Archivo_Nombre&amp;"]Datos!"&amp;LEFT(SUBSTITUTE(ADDRESS(1,Formulas!K103+2),"$",""))&amp;Formulas!J103+1,
IFERROR(INDEX(Datos!$A$2:$K$102,Formulas!J103,Formulas!K103+2),"")))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21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IFERROR(INDEX(Datos!$A$2:$K$102,Formulas!N102,RIGHT(Formulas!P102)+2),"")))</f>
        <v/>
      </c>
      <c r="O105" s="121" t="str" cm="1">
        <f t="array" aca="1" ref="O105" ca="1">IF(OR(Formulas!P103=0,Formulas!P103=""),"",HYPERLINK("["&amp;Archivo_Nombre&amp;"]Datos!"&amp;LEFT(SUBSTITUTE(ADDRESS(1,Formulas!P103+2),"$",""))&amp;Formulas!O103+1,
IFERROR(INDEX(Datos!$A$2:$K$102,Formulas!O103,Formulas!P103+2),"")))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47:</v>
      </c>
      <c r="S105" s="121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IFERROR(INDEX(Datos!$A$2:$K$102,Formulas!S102,RIGHT(Formulas!U102)+2),"")))</f>
        <v>Revisión de VIDEO DE ENTREVISTA 1, VIDEO MAQUETADO, VIDEO PRESENTACION</v>
      </c>
      <c r="T105" s="121" t="e" cm="1">
        <f t="array" aca="1" ref="T105" ca="1">IF(OR(Formulas!U103=0,Formulas!U103=""),"",HYPERLINK("["&amp;Archivo_Nombre&amp;"]Datos!"&amp;LEFT(SUBSTITUTE(ADDRESS(1,Formulas!U103+2),"$",""))&amp;Formulas!T103+1,
IFERROR(INDEX(Datos!$A$2:$K$102,Formulas!T103,Formulas!U103+2),"")))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21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IFERROR(INDEX(Datos!$A$2:$K$102,Formulas!X102,RIGHT(Formulas!Z102)+2),"")))</f>
        <v/>
      </c>
      <c r="Y105" s="121" t="str" cm="1">
        <f t="array" aca="1" ref="Y105" ca="1">IF(OR(Formulas!Z103=0,Formulas!Z103=""),"",HYPERLINK("["&amp;Archivo_Nombre&amp;"]Datos!"&amp;LEFT(SUBSTITUTE(ADDRESS(1,Formulas!Z103+2),"$",""))&amp;Formulas!Y103+1,
IFERROR(INDEX(Datos!$A$2:$K$102,Formulas!Y103,Formulas!Z103+2),"")))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21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IFERROR(INDEX(Datos!$A$2:$K$102,Formulas!AC102,RIGHT(Formulas!AE102)+2),"")))</f>
        <v/>
      </c>
      <c r="AD105" s="121" t="str" cm="1">
        <f t="array" aca="1" ref="AD105" ca="1">IF(OR(Formulas!AE103=0,Formulas!AE103=""),"",HYPERLINK("["&amp;Archivo_Nombre&amp;"]Datos!"&amp;LEFT(SUBSTITUTE(ADDRESS(1,Formulas!AE103+2),"$",""))&amp;Formulas!AD103+1,
IFERROR(INDEX(Datos!$A$2:$K$102,Formulas!AD103,Formulas!AE103+2),"")))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21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IFERROR(INDEX(Datos!$A$2:$K$102,Formulas!AH102,RIGHT(Formulas!AJ102)+2),"")))</f>
        <v/>
      </c>
      <c r="AI105" s="121" t="str" cm="1">
        <f t="array" aca="1" ref="AI105" ca="1">IF(OR(Formulas!AJ103=0,Formulas!AJ103=""),"",HYPERLINK("["&amp;Archivo_Nombre&amp;"]Datos!"&amp;LEFT(SUBSTITUTE(ADDRESS(1,Formulas!AJ103+2),"$",""))&amp;Formulas!AI103+1,
IFERROR(INDEX(Datos!$A$2:$K$102,Formulas!AI103,Formulas!AJ103+2),"")))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21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IFERROR(INDEX(Datos!$A$2:$K$102,Formulas!AM102,RIGHT(Formulas!AO102)+2),"")))</f>
        <v/>
      </c>
      <c r="AN105" s="121" t="str" cm="1">
        <f t="array" aca="1" ref="AN105" ca="1">IF(OR(Formulas!AO103=0,Formulas!AO103=""),"",HYPERLINK("["&amp;Archivo_Nombre&amp;"]Datos!"&amp;LEFT(SUBSTITUTE(ADDRESS(1,Formulas!AO103+2),"$",""))&amp;Formulas!AN103+1,
IFERROR(INDEX(Datos!$A$2:$K$102,Formulas!AN103,Formulas!AO103+2),"")))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21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IFERROR(INDEX(Datos!$A$2:$K$102,Formulas!AR102,RIGHT(Formulas!AT102)+2),"")))</f>
        <v/>
      </c>
      <c r="AS105" s="121" t="str" cm="1">
        <f t="array" aca="1" ref="AS105" ca="1">IF(OR(Formulas!AT103=0,Formulas!AT103=""),"",HYPERLINK("["&amp;Archivo_Nombre&amp;"]Datos!"&amp;LEFT(SUBSTITUTE(ADDRESS(1,Formulas!AT103+2),"$",""))&amp;Formulas!AS103+1,
IFERROR(INDEX(Datos!$A$2:$K$102,Formulas!AS103,Formulas!AT103+2),"")))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21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IFERROR(INDEX(Datos!$A$2:$K$102,Formulas!AW102,RIGHT(Formulas!AY102)+2),"")))</f>
        <v/>
      </c>
      <c r="AX105" s="121" t="str" cm="1">
        <f t="array" aca="1" ref="AX105" ca="1">IF(OR(Formulas!AY103=0,Formulas!AY103=""),"",HYPERLINK("["&amp;Archivo_Nombre&amp;"]Datos!"&amp;LEFT(SUBSTITUTE(ADDRESS(1,Formulas!AY103+2),"$",""))&amp;Formulas!AX103+1,
IFERROR(INDEX(Datos!$A$2:$K$102,Formulas!AX103,Formulas!AY103+2),"")))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21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IFERROR(INDEX(Datos!$A$2:$K$102,Formulas!D103,RIGHT(Formulas!F103)+2),"")))</f>
        <v/>
      </c>
      <c r="E106" s="121" t="str" cm="1">
        <f t="array" aca="1" ref="E106" ca="1">IF(OR(Formulas!F104=0,Formulas!F104=""),"",HYPERLINK("["&amp;Archivo_Nombre&amp;"]Datos!"&amp;LEFT(SUBSTITUTE(ADDRESS(1,Formulas!F104+2),"$",""))&amp;Formulas!E104+1,
IFERROR(INDEX(Datos!$A$2:$K$102,Formulas!E104,Formulas!F104+2),"")))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21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IFERROR(INDEX(Datos!$A$2:$K$102,Formulas!I103,RIGHT(Formulas!K103)+2),"")))</f>
        <v/>
      </c>
      <c r="J106" s="121" t="str" cm="1">
        <f t="array" aca="1" ref="J106" ca="1">IF(OR(Formulas!K104=0,Formulas!K104=""),"",HYPERLINK("["&amp;Archivo_Nombre&amp;"]Datos!"&amp;LEFT(SUBSTITUTE(ADDRESS(1,Formulas!K104+2),"$",""))&amp;Formulas!J104+1,
IFERROR(INDEX(Datos!$A$2:$K$102,Formulas!J104,Formulas!K104+2),"")))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21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IFERROR(INDEX(Datos!$A$2:$K$102,Formulas!N103,RIGHT(Formulas!P103)+2),"")))</f>
        <v/>
      </c>
      <c r="O106" s="121" t="str" cm="1">
        <f t="array" aca="1" ref="O106" ca="1">IF(OR(Formulas!P104=0,Formulas!P104=""),"",HYPERLINK("["&amp;Archivo_Nombre&amp;"]Datos!"&amp;LEFT(SUBSTITUTE(ADDRESS(1,Formulas!P104+2),"$",""))&amp;Formulas!O104+1,
IFERROR(INDEX(Datos!$A$2:$K$102,Formulas!O104,Formulas!P104+2),"")))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21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IFERROR(INDEX(Datos!$A$2:$K$102,Formulas!S103,RIGHT(Formulas!U103)+2),"")))</f>
        <v>Revisión por parte de la ingeniera guía del proyecto</v>
      </c>
      <c r="T106" s="121" t="e" cm="1">
        <f t="array" aca="1" ref="T106" ca="1">IF(OR(Formulas!U104=0,Formulas!U104=""),"",HYPERLINK("["&amp;Archivo_Nombre&amp;"]Datos!"&amp;LEFT(SUBSTITUTE(ADDRESS(1,Formulas!U104+2),"$",""))&amp;Formulas!T104+1,
IFERROR(INDEX(Datos!$A$2:$K$102,Formulas!T104,Formulas!U104+2),"")))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21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IFERROR(INDEX(Datos!$A$2:$K$102,Formulas!X103,RIGHT(Formulas!Z103)+2),"")))</f>
        <v/>
      </c>
      <c r="Y106" s="121" t="str" cm="1">
        <f t="array" aca="1" ref="Y106" ca="1">IF(OR(Formulas!Z104=0,Formulas!Z104=""),"",HYPERLINK("["&amp;Archivo_Nombre&amp;"]Datos!"&amp;LEFT(SUBSTITUTE(ADDRESS(1,Formulas!Z104+2),"$",""))&amp;Formulas!Y104+1,
IFERROR(INDEX(Datos!$A$2:$K$102,Formulas!Y104,Formulas!Z104+2),"")))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21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IFERROR(INDEX(Datos!$A$2:$K$102,Formulas!AC103,RIGHT(Formulas!AE103)+2),"")))</f>
        <v/>
      </c>
      <c r="AD106" s="121" t="str" cm="1">
        <f t="array" aca="1" ref="AD106" ca="1">IF(OR(Formulas!AE104=0,Formulas!AE104=""),"",HYPERLINK("["&amp;Archivo_Nombre&amp;"]Datos!"&amp;LEFT(SUBSTITUTE(ADDRESS(1,Formulas!AE104+2),"$",""))&amp;Formulas!AD104+1,
IFERROR(INDEX(Datos!$A$2:$K$102,Formulas!AD104,Formulas!AE104+2),"")))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21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IFERROR(INDEX(Datos!$A$2:$K$102,Formulas!AH103,RIGHT(Formulas!AJ103)+2),"")))</f>
        <v/>
      </c>
      <c r="AI106" s="121" t="str" cm="1">
        <f t="array" aca="1" ref="AI106" ca="1">IF(OR(Formulas!AJ104=0,Formulas!AJ104=""),"",HYPERLINK("["&amp;Archivo_Nombre&amp;"]Datos!"&amp;LEFT(SUBSTITUTE(ADDRESS(1,Formulas!AJ104+2),"$",""))&amp;Formulas!AI104+1,
IFERROR(INDEX(Datos!$A$2:$K$102,Formulas!AI104,Formulas!AJ104+2),"")))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21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IFERROR(INDEX(Datos!$A$2:$K$102,Formulas!AM103,RIGHT(Formulas!AO103)+2),"")))</f>
        <v/>
      </c>
      <c r="AN106" s="121" t="str" cm="1">
        <f t="array" aca="1" ref="AN106" ca="1">IF(OR(Formulas!AO104=0,Formulas!AO104=""),"",HYPERLINK("["&amp;Archivo_Nombre&amp;"]Datos!"&amp;LEFT(SUBSTITUTE(ADDRESS(1,Formulas!AO104+2),"$",""))&amp;Formulas!AN104+1,
IFERROR(INDEX(Datos!$A$2:$K$102,Formulas!AN104,Formulas!AO104+2),"")))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21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IFERROR(INDEX(Datos!$A$2:$K$102,Formulas!AR103,RIGHT(Formulas!AT103)+2),"")))</f>
        <v/>
      </c>
      <c r="AS106" s="121" t="str" cm="1">
        <f t="array" aca="1" ref="AS106" ca="1">IF(OR(Formulas!AT104=0,Formulas!AT104=""),"",HYPERLINK("["&amp;Archivo_Nombre&amp;"]Datos!"&amp;LEFT(SUBSTITUTE(ADDRESS(1,Formulas!AT104+2),"$",""))&amp;Formulas!AS104+1,
IFERROR(INDEX(Datos!$A$2:$K$102,Formulas!AS104,Formulas!AT104+2),"")))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21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IFERROR(INDEX(Datos!$A$2:$K$102,Formulas!AW103,RIGHT(Formulas!AY103)+2),"")))</f>
        <v/>
      </c>
      <c r="AX106" s="121" t="str" cm="1">
        <f t="array" aca="1" ref="AX106" ca="1">IF(OR(Formulas!AY104=0,Formulas!AY104=""),"",HYPERLINK("["&amp;Archivo_Nombre&amp;"]Datos!"&amp;LEFT(SUBSTITUTE(ADDRESS(1,Formulas!AY104+2),"$",""))&amp;Formulas!AX104+1,
IFERROR(INDEX(Datos!$A$2:$K$102,Formulas!AX104,Formulas!AY104+2),"")))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21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IFERROR(INDEX(Datos!$A$2:$K$102,Formulas!D104,RIGHT(Formulas!F104)+2),"")))</f>
        <v/>
      </c>
      <c r="E107" s="121" t="str" cm="1">
        <f t="array" aca="1" ref="E107" ca="1">IF(OR(Formulas!F105=0,Formulas!F105=""),"",HYPERLINK("["&amp;Archivo_Nombre&amp;"]Datos!"&amp;LEFT(SUBSTITUTE(ADDRESS(1,Formulas!F105+2),"$",""))&amp;Formulas!E105+1,
IFERROR(INDEX(Datos!$A$2:$K$102,Formulas!E105,Formulas!F105+2),"")))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21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IFERROR(INDEX(Datos!$A$2:$K$102,Formulas!I104,RIGHT(Formulas!K104)+2),"")))</f>
        <v/>
      </c>
      <c r="J107" s="121" t="str" cm="1">
        <f t="array" aca="1" ref="J107" ca="1">IF(OR(Formulas!K105=0,Formulas!K105=""),"",HYPERLINK("["&amp;Archivo_Nombre&amp;"]Datos!"&amp;LEFT(SUBSTITUTE(ADDRESS(1,Formulas!K105+2),"$",""))&amp;Formulas!J105+1,
IFERROR(INDEX(Datos!$A$2:$K$102,Formulas!J105,Formulas!K105+2),"")))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21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IFERROR(INDEX(Datos!$A$2:$K$102,Formulas!N104,RIGHT(Formulas!P104)+2),"")))</f>
        <v/>
      </c>
      <c r="O107" s="121" t="str" cm="1">
        <f t="array" aca="1" ref="O107" ca="1">IF(OR(Formulas!P105=0,Formulas!P105=""),"",HYPERLINK("["&amp;Archivo_Nombre&amp;"]Datos!"&amp;LEFT(SUBSTITUTE(ADDRESS(1,Formulas!P105+2),"$",""))&amp;Formulas!O105+1,
IFERROR(INDEX(Datos!$A$2:$K$102,Formulas!O105,Formulas!P105+2),"")))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21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IFERROR(INDEX(Datos!$A$2:$K$102,Formulas!S104,RIGHT(Formulas!U104)+2),"")))</f>
        <v>46005</v>
      </c>
      <c r="T107" s="121" t="e" cm="1">
        <f t="array" aca="1" ref="T107" ca="1">IF(OR(Formulas!U105=0,Formulas!U105=""),"",HYPERLINK("["&amp;Archivo_Nombre&amp;"]Datos!"&amp;LEFT(SUBSTITUTE(ADDRESS(1,Formulas!U105+2),"$",""))&amp;Formulas!T105+1,
IFERROR(INDEX(Datos!$A$2:$K$102,Formulas!T105,Formulas!U105+2),"")))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21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IFERROR(INDEX(Datos!$A$2:$K$102,Formulas!X104,RIGHT(Formulas!Z104)+2),"")))</f>
        <v/>
      </c>
      <c r="Y107" s="121" t="str" cm="1">
        <f t="array" aca="1" ref="Y107" ca="1">IF(OR(Formulas!Z105=0,Formulas!Z105=""),"",HYPERLINK("["&amp;Archivo_Nombre&amp;"]Datos!"&amp;LEFT(SUBSTITUTE(ADDRESS(1,Formulas!Z105+2),"$",""))&amp;Formulas!Y105+1,
IFERROR(INDEX(Datos!$A$2:$K$102,Formulas!Y105,Formulas!Z105+2),"")))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21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IFERROR(INDEX(Datos!$A$2:$K$102,Formulas!AC104,RIGHT(Formulas!AE104)+2),"")))</f>
        <v/>
      </c>
      <c r="AD107" s="121" t="str" cm="1">
        <f t="array" aca="1" ref="AD107" ca="1">IF(OR(Formulas!AE105=0,Formulas!AE105=""),"",HYPERLINK("["&amp;Archivo_Nombre&amp;"]Datos!"&amp;LEFT(SUBSTITUTE(ADDRESS(1,Formulas!AE105+2),"$",""))&amp;Formulas!AD105+1,
IFERROR(INDEX(Datos!$A$2:$K$102,Formulas!AD105,Formulas!AE105+2),"")))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21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IFERROR(INDEX(Datos!$A$2:$K$102,Formulas!AH104,RIGHT(Formulas!AJ104)+2),"")))</f>
        <v/>
      </c>
      <c r="AI107" s="121" t="str" cm="1">
        <f t="array" aca="1" ref="AI107" ca="1">IF(OR(Formulas!AJ105=0,Formulas!AJ105=""),"",HYPERLINK("["&amp;Archivo_Nombre&amp;"]Datos!"&amp;LEFT(SUBSTITUTE(ADDRESS(1,Formulas!AJ105+2),"$",""))&amp;Formulas!AI105+1,
IFERROR(INDEX(Datos!$A$2:$K$102,Formulas!AI105,Formulas!AJ105+2),"")))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21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IFERROR(INDEX(Datos!$A$2:$K$102,Formulas!AM104,RIGHT(Formulas!AO104)+2),"")))</f>
        <v/>
      </c>
      <c r="AN107" s="121" t="str" cm="1">
        <f t="array" aca="1" ref="AN107" ca="1">IF(OR(Formulas!AO105=0,Formulas!AO105=""),"",HYPERLINK("["&amp;Archivo_Nombre&amp;"]Datos!"&amp;LEFT(SUBSTITUTE(ADDRESS(1,Formulas!AO105+2),"$",""))&amp;Formulas!AN105+1,
IFERROR(INDEX(Datos!$A$2:$K$102,Formulas!AN105,Formulas!AO105+2),"")))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21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IFERROR(INDEX(Datos!$A$2:$K$102,Formulas!AR104,RIGHT(Formulas!AT104)+2),"")))</f>
        <v/>
      </c>
      <c r="AS107" s="121" t="str" cm="1">
        <f t="array" aca="1" ref="AS107" ca="1">IF(OR(Formulas!AT105=0,Formulas!AT105=""),"",HYPERLINK("["&amp;Archivo_Nombre&amp;"]Datos!"&amp;LEFT(SUBSTITUTE(ADDRESS(1,Formulas!AT105+2),"$",""))&amp;Formulas!AS105+1,
IFERROR(INDEX(Datos!$A$2:$K$102,Formulas!AS105,Formulas!AT105+2),"")))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21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IFERROR(INDEX(Datos!$A$2:$K$102,Formulas!AW104,RIGHT(Formulas!AY104)+2),"")))</f>
        <v/>
      </c>
      <c r="AX107" s="121" t="str" cm="1">
        <f t="array" aca="1" ref="AX107" ca="1">IF(OR(Formulas!AY105=0,Formulas!AY105=""),"",HYPERLINK("["&amp;Archivo_Nombre&amp;"]Datos!"&amp;LEFT(SUBSTITUTE(ADDRESS(1,Formulas!AY105+2),"$",""))&amp;Formulas!AX105+1,
IFERROR(INDEX(Datos!$A$2:$K$102,Formulas!AX105,Formulas!AY105+2),"")))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21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IFERROR(INDEX(Datos!$A$2:$K$102,Formulas!D105,RIGHT(Formulas!F105)+2),"")))</f>
        <v/>
      </c>
      <c r="E108" s="121" t="str" cm="1">
        <f t="array" aca="1" ref="E108" ca="1">IF(OR(Formulas!F106=0,Formulas!F106=""),"",HYPERLINK("["&amp;Archivo_Nombre&amp;"]Datos!"&amp;LEFT(SUBSTITUTE(ADDRESS(1,Formulas!F106+2),"$",""))&amp;Formulas!E106+1,
IFERROR(INDEX(Datos!$A$2:$K$102,Formulas!E106,Formulas!F106+2),"")))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21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IFERROR(INDEX(Datos!$A$2:$K$102,Formulas!I105,RIGHT(Formulas!K105)+2),"")))</f>
        <v/>
      </c>
      <c r="J108" s="121" t="str" cm="1">
        <f t="array" aca="1" ref="J108" ca="1">IF(OR(Formulas!K106=0,Formulas!K106=""),"",HYPERLINK("["&amp;Archivo_Nombre&amp;"]Datos!"&amp;LEFT(SUBSTITUTE(ADDRESS(1,Formulas!K106+2),"$",""))&amp;Formulas!J106+1,
IFERROR(INDEX(Datos!$A$2:$K$102,Formulas!J106,Formulas!K106+2),"")))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21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IFERROR(INDEX(Datos!$A$2:$K$102,Formulas!N105,RIGHT(Formulas!P105)+2),"")))</f>
        <v/>
      </c>
      <c r="O108" s="121" t="str" cm="1">
        <f t="array" aca="1" ref="O108" ca="1">IF(OR(Formulas!P106=0,Formulas!P106=""),"",HYPERLINK("["&amp;Archivo_Nombre&amp;"]Datos!"&amp;LEFT(SUBSTITUTE(ADDRESS(1,Formulas!P106+2),"$",""))&amp;Formulas!O106+1,
IFERROR(INDEX(Datos!$A$2:$K$102,Formulas!O106,Formulas!P106+2),"")))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21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IFERROR(INDEX(Datos!$A$2:$K$102,Formulas!S105,RIGHT(Formulas!U105)+2),"")))</f>
        <v>46005</v>
      </c>
      <c r="T108" s="121" t="e" cm="1">
        <f t="array" aca="1" ref="T108" ca="1">IF(OR(Formulas!U106=0,Formulas!U106=""),"",HYPERLINK("["&amp;Archivo_Nombre&amp;"]Datos!"&amp;LEFT(SUBSTITUTE(ADDRESS(1,Formulas!U106+2),"$",""))&amp;Formulas!T106+1,
IFERROR(INDEX(Datos!$A$2:$K$102,Formulas!T106,Formulas!U106+2),"")))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21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IFERROR(INDEX(Datos!$A$2:$K$102,Formulas!X105,RIGHT(Formulas!Z105)+2),"")))</f>
        <v/>
      </c>
      <c r="Y108" s="121" t="str" cm="1">
        <f t="array" aca="1" ref="Y108" ca="1">IF(OR(Formulas!Z106=0,Formulas!Z106=""),"",HYPERLINK("["&amp;Archivo_Nombre&amp;"]Datos!"&amp;LEFT(SUBSTITUTE(ADDRESS(1,Formulas!Z106+2),"$",""))&amp;Formulas!Y106+1,
IFERROR(INDEX(Datos!$A$2:$K$102,Formulas!Y106,Formulas!Z106+2),"")))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21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IFERROR(INDEX(Datos!$A$2:$K$102,Formulas!AC105,RIGHT(Formulas!AE105)+2),"")))</f>
        <v/>
      </c>
      <c r="AD108" s="121" t="str" cm="1">
        <f t="array" aca="1" ref="AD108" ca="1">IF(OR(Formulas!AE106=0,Formulas!AE106=""),"",HYPERLINK("["&amp;Archivo_Nombre&amp;"]Datos!"&amp;LEFT(SUBSTITUTE(ADDRESS(1,Formulas!AE106+2),"$",""))&amp;Formulas!AD106+1,
IFERROR(INDEX(Datos!$A$2:$K$102,Formulas!AD106,Formulas!AE106+2),"")))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21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IFERROR(INDEX(Datos!$A$2:$K$102,Formulas!AH105,RIGHT(Formulas!AJ105)+2),"")))</f>
        <v/>
      </c>
      <c r="AI108" s="121" t="str" cm="1">
        <f t="array" aca="1" ref="AI108" ca="1">IF(OR(Formulas!AJ106=0,Formulas!AJ106=""),"",HYPERLINK("["&amp;Archivo_Nombre&amp;"]Datos!"&amp;LEFT(SUBSTITUTE(ADDRESS(1,Formulas!AJ106+2),"$",""))&amp;Formulas!AI106+1,
IFERROR(INDEX(Datos!$A$2:$K$102,Formulas!AI106,Formulas!AJ106+2),"")))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21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IFERROR(INDEX(Datos!$A$2:$K$102,Formulas!AM105,RIGHT(Formulas!AO105)+2),"")))</f>
        <v/>
      </c>
      <c r="AN108" s="121" t="str" cm="1">
        <f t="array" aca="1" ref="AN108" ca="1">IF(OR(Formulas!AO106=0,Formulas!AO106=""),"",HYPERLINK("["&amp;Archivo_Nombre&amp;"]Datos!"&amp;LEFT(SUBSTITUTE(ADDRESS(1,Formulas!AO106+2),"$",""))&amp;Formulas!AN106+1,
IFERROR(INDEX(Datos!$A$2:$K$102,Formulas!AN106,Formulas!AO106+2),"")))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21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IFERROR(INDEX(Datos!$A$2:$K$102,Formulas!AR105,RIGHT(Formulas!AT105)+2),"")))</f>
        <v/>
      </c>
      <c r="AS108" s="121" t="str" cm="1">
        <f t="array" aca="1" ref="AS108" ca="1">IF(OR(Formulas!AT106=0,Formulas!AT106=""),"",HYPERLINK("["&amp;Archivo_Nombre&amp;"]Datos!"&amp;LEFT(SUBSTITUTE(ADDRESS(1,Formulas!AT106+2),"$",""))&amp;Formulas!AS106+1,
IFERROR(INDEX(Datos!$A$2:$K$102,Formulas!AS106,Formulas!AT106+2),"")))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21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IFERROR(INDEX(Datos!$A$2:$K$102,Formulas!AW105,RIGHT(Formulas!AY105)+2),"")))</f>
        <v/>
      </c>
      <c r="AX108" s="121" t="str" cm="1">
        <f t="array" aca="1" ref="AX108" ca="1">IF(OR(Formulas!AY106=0,Formulas!AY106=""),"",HYPERLINK("["&amp;Archivo_Nombre&amp;"]Datos!"&amp;LEFT(SUBSTITUTE(ADDRESS(1,Formulas!AY106+2),"$",""))&amp;Formulas!AX106+1,
IFERROR(INDEX(Datos!$A$2:$K$102,Formulas!AX106,Formulas!AY106+2),"")))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21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IFERROR(INDEX(Datos!$A$2:$K$102,Formulas!D106,RIGHT(Formulas!F106)+2),"")))</f>
        <v/>
      </c>
      <c r="E109" s="121" t="str" cm="1">
        <f t="array" aca="1" ref="E109" ca="1">IF(OR(Formulas!F107=0,Formulas!F107=""),"",HYPERLINK("["&amp;Archivo_Nombre&amp;"]Datos!"&amp;LEFT(SUBSTITUTE(ADDRESS(1,Formulas!F107+2),"$",""))&amp;Formulas!E107+1,
IFERROR(INDEX(Datos!$A$2:$K$102,Formulas!E107,Formulas!F107+2),"")))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21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IFERROR(INDEX(Datos!$A$2:$K$102,Formulas!I106,RIGHT(Formulas!K106)+2),"")))</f>
        <v/>
      </c>
      <c r="J109" s="121" t="str" cm="1">
        <f t="array" aca="1" ref="J109" ca="1">IF(OR(Formulas!K107=0,Formulas!K107=""),"",HYPERLINK("["&amp;Archivo_Nombre&amp;"]Datos!"&amp;LEFT(SUBSTITUTE(ADDRESS(1,Formulas!K107+2),"$",""))&amp;Formulas!J107+1,
IFERROR(INDEX(Datos!$A$2:$K$102,Formulas!J107,Formulas!K107+2),"")))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21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IFERROR(INDEX(Datos!$A$2:$K$102,Formulas!N106,RIGHT(Formulas!P106)+2),"")))</f>
        <v/>
      </c>
      <c r="O109" s="121" t="str" cm="1">
        <f t="array" aca="1" ref="O109" ca="1">IF(OR(Formulas!P107=0,Formulas!P107=""),"",HYPERLINK("["&amp;Archivo_Nombre&amp;"]Datos!"&amp;LEFT(SUBSTITUTE(ADDRESS(1,Formulas!P107+2),"$",""))&amp;Formulas!O107+1,
IFERROR(INDEX(Datos!$A$2:$K$102,Formulas!O107,Formulas!P107+2),"")))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21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IFERROR(INDEX(Datos!$A$2:$K$102,Formulas!S106,RIGHT(Formulas!U106)+2),"")))</f>
        <v>46005</v>
      </c>
      <c r="T109" s="121" t="e" cm="1">
        <f t="array" aca="1" ref="T109" ca="1">IF(OR(Formulas!U107=0,Formulas!U107=""),"",HYPERLINK("["&amp;Archivo_Nombre&amp;"]Datos!"&amp;LEFT(SUBSTITUTE(ADDRESS(1,Formulas!U107+2),"$",""))&amp;Formulas!T107+1,
IFERROR(INDEX(Datos!$A$2:$K$102,Formulas!T107,Formulas!U107+2),"")))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21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IFERROR(INDEX(Datos!$A$2:$K$102,Formulas!X106,RIGHT(Formulas!Z106)+2),"")))</f>
        <v/>
      </c>
      <c r="Y109" s="121" t="str" cm="1">
        <f t="array" aca="1" ref="Y109" ca="1">IF(OR(Formulas!Z107=0,Formulas!Z107=""),"",HYPERLINK("["&amp;Archivo_Nombre&amp;"]Datos!"&amp;LEFT(SUBSTITUTE(ADDRESS(1,Formulas!Z107+2),"$",""))&amp;Formulas!Y107+1,
IFERROR(INDEX(Datos!$A$2:$K$102,Formulas!Y107,Formulas!Z107+2),"")))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21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IFERROR(INDEX(Datos!$A$2:$K$102,Formulas!AC106,RIGHT(Formulas!AE106)+2),"")))</f>
        <v/>
      </c>
      <c r="AD109" s="121" t="str" cm="1">
        <f t="array" aca="1" ref="AD109" ca="1">IF(OR(Formulas!AE107=0,Formulas!AE107=""),"",HYPERLINK("["&amp;Archivo_Nombre&amp;"]Datos!"&amp;LEFT(SUBSTITUTE(ADDRESS(1,Formulas!AE107+2),"$",""))&amp;Formulas!AD107+1,
IFERROR(INDEX(Datos!$A$2:$K$102,Formulas!AD107,Formulas!AE107+2),"")))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21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IFERROR(INDEX(Datos!$A$2:$K$102,Formulas!AH106,RIGHT(Formulas!AJ106)+2),"")))</f>
        <v/>
      </c>
      <c r="AI109" s="121" t="str" cm="1">
        <f t="array" aca="1" ref="AI109" ca="1">IF(OR(Formulas!AJ107=0,Formulas!AJ107=""),"",HYPERLINK("["&amp;Archivo_Nombre&amp;"]Datos!"&amp;LEFT(SUBSTITUTE(ADDRESS(1,Formulas!AJ107+2),"$",""))&amp;Formulas!AI107+1,
IFERROR(INDEX(Datos!$A$2:$K$102,Formulas!AI107,Formulas!AJ107+2),"")))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21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IFERROR(INDEX(Datos!$A$2:$K$102,Formulas!AM106,RIGHT(Formulas!AO106)+2),"")))</f>
        <v/>
      </c>
      <c r="AN109" s="121" t="str" cm="1">
        <f t="array" aca="1" ref="AN109" ca="1">IF(OR(Formulas!AO107=0,Formulas!AO107=""),"",HYPERLINK("["&amp;Archivo_Nombre&amp;"]Datos!"&amp;LEFT(SUBSTITUTE(ADDRESS(1,Formulas!AO107+2),"$",""))&amp;Formulas!AN107+1,
IFERROR(INDEX(Datos!$A$2:$K$102,Formulas!AN107,Formulas!AO107+2),"")))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21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IFERROR(INDEX(Datos!$A$2:$K$102,Formulas!AR106,RIGHT(Formulas!AT106)+2),"")))</f>
        <v/>
      </c>
      <c r="AS109" s="121" t="str" cm="1">
        <f t="array" aca="1" ref="AS109" ca="1">IF(OR(Formulas!AT107=0,Formulas!AT107=""),"",HYPERLINK("["&amp;Archivo_Nombre&amp;"]Datos!"&amp;LEFT(SUBSTITUTE(ADDRESS(1,Formulas!AT107+2),"$",""))&amp;Formulas!AS107+1,
IFERROR(INDEX(Datos!$A$2:$K$102,Formulas!AS107,Formulas!AT107+2),"")))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21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IFERROR(INDEX(Datos!$A$2:$K$102,Formulas!AW106,RIGHT(Formulas!AY106)+2),"")))</f>
        <v/>
      </c>
      <c r="AX109" s="121" t="str" cm="1">
        <f t="array" aca="1" ref="AX109" ca="1">IF(OR(Formulas!AY107=0,Formulas!AY107=""),"",HYPERLINK("["&amp;Archivo_Nombre&amp;"]Datos!"&amp;LEFT(SUBSTITUTE(ADDRESS(1,Formulas!AY107+2),"$",""))&amp;Formulas!AX107+1,
IFERROR(INDEX(Datos!$A$2:$K$102,Formulas!AX107,Formulas!AY107+2),"")))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21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IFERROR(INDEX(Datos!$A$2:$K$102,Formulas!D107,RIGHT(Formulas!F107)+2),"")))</f>
        <v/>
      </c>
      <c r="E110" s="121" t="str" cm="1">
        <f t="array" aca="1" ref="E110" ca="1">IF(OR(Formulas!F108=0,Formulas!F108=""),"",HYPERLINK("["&amp;Archivo_Nombre&amp;"]Datos!"&amp;LEFT(SUBSTITUTE(ADDRESS(1,Formulas!F108+2),"$",""))&amp;Formulas!E108+1,
IFERROR(INDEX(Datos!$A$2:$K$102,Formulas!E108,Formulas!F108+2),"")))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21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IFERROR(INDEX(Datos!$A$2:$K$102,Formulas!I107,RIGHT(Formulas!K107)+2),"")))</f>
        <v/>
      </c>
      <c r="J110" s="121" t="str" cm="1">
        <f t="array" aca="1" ref="J110" ca="1">IF(OR(Formulas!K108=0,Formulas!K108=""),"",HYPERLINK("["&amp;Archivo_Nombre&amp;"]Datos!"&amp;LEFT(SUBSTITUTE(ADDRESS(1,Formulas!K108+2),"$",""))&amp;Formulas!J108+1,
IFERROR(INDEX(Datos!$A$2:$K$102,Formulas!J108,Formulas!K108+2),"")))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21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IFERROR(INDEX(Datos!$A$2:$K$102,Formulas!N107,RIGHT(Formulas!P107)+2),"")))</f>
        <v/>
      </c>
      <c r="O110" s="121" t="str" cm="1">
        <f t="array" aca="1" ref="O110" ca="1">IF(OR(Formulas!P108=0,Formulas!P108=""),"",HYPERLINK("["&amp;Archivo_Nombre&amp;"]Datos!"&amp;LEFT(SUBSTITUTE(ADDRESS(1,Formulas!P108+2),"$",""))&amp;Formulas!O108+1,
IFERROR(INDEX(Datos!$A$2:$K$102,Formulas!O108,Formulas!P108+2),"")))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21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IFERROR(INDEX(Datos!$A$2:$K$102,Formulas!S107,RIGHT(Formulas!U107)+2),"")))</f>
        <v>1 días</v>
      </c>
      <c r="T110" s="121" t="e" cm="1">
        <f t="array" aca="1" ref="T110" ca="1">IF(OR(Formulas!U108=0,Formulas!U108=""),"",HYPERLINK("["&amp;Archivo_Nombre&amp;"]Datos!"&amp;LEFT(SUBSTITUTE(ADDRESS(1,Formulas!U108+2),"$",""))&amp;Formulas!T108+1,
IFERROR(INDEX(Datos!$A$2:$K$102,Formulas!T108,Formulas!U108+2),"")))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21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IFERROR(INDEX(Datos!$A$2:$K$102,Formulas!X107,RIGHT(Formulas!Z107)+2),"")))</f>
        <v/>
      </c>
      <c r="Y110" s="121" t="str" cm="1">
        <f t="array" aca="1" ref="Y110" ca="1">IF(OR(Formulas!Z108=0,Formulas!Z108=""),"",HYPERLINK("["&amp;Archivo_Nombre&amp;"]Datos!"&amp;LEFT(SUBSTITUTE(ADDRESS(1,Formulas!Z108+2),"$",""))&amp;Formulas!Y108+1,
IFERROR(INDEX(Datos!$A$2:$K$102,Formulas!Y108,Formulas!Z108+2),"")))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21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IFERROR(INDEX(Datos!$A$2:$K$102,Formulas!AC107,RIGHT(Formulas!AE107)+2),"")))</f>
        <v/>
      </c>
      <c r="AD110" s="121" t="str" cm="1">
        <f t="array" aca="1" ref="AD110" ca="1">IF(OR(Formulas!AE108=0,Formulas!AE108=""),"",HYPERLINK("["&amp;Archivo_Nombre&amp;"]Datos!"&amp;LEFT(SUBSTITUTE(ADDRESS(1,Formulas!AE108+2),"$",""))&amp;Formulas!AD108+1,
IFERROR(INDEX(Datos!$A$2:$K$102,Formulas!AD108,Formulas!AE108+2),"")))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21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IFERROR(INDEX(Datos!$A$2:$K$102,Formulas!AH107,RIGHT(Formulas!AJ107)+2),"")))</f>
        <v/>
      </c>
      <c r="AI110" s="121" t="str" cm="1">
        <f t="array" aca="1" ref="AI110" ca="1">IF(OR(Formulas!AJ108=0,Formulas!AJ108=""),"",HYPERLINK("["&amp;Archivo_Nombre&amp;"]Datos!"&amp;LEFT(SUBSTITUTE(ADDRESS(1,Formulas!AJ108+2),"$",""))&amp;Formulas!AI108+1,
IFERROR(INDEX(Datos!$A$2:$K$102,Formulas!AI108,Formulas!AJ108+2),"")))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21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IFERROR(INDEX(Datos!$A$2:$K$102,Formulas!AM107,RIGHT(Formulas!AO107)+2),"")))</f>
        <v/>
      </c>
      <c r="AN110" s="121" t="str" cm="1">
        <f t="array" aca="1" ref="AN110" ca="1">IF(OR(Formulas!AO108=0,Formulas!AO108=""),"",HYPERLINK("["&amp;Archivo_Nombre&amp;"]Datos!"&amp;LEFT(SUBSTITUTE(ADDRESS(1,Formulas!AO108+2),"$",""))&amp;Formulas!AN108+1,
IFERROR(INDEX(Datos!$A$2:$K$102,Formulas!AN108,Formulas!AO108+2),"")))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21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IFERROR(INDEX(Datos!$A$2:$K$102,Formulas!AR107,RIGHT(Formulas!AT107)+2),"")))</f>
        <v/>
      </c>
      <c r="AS110" s="121" t="str" cm="1">
        <f t="array" aca="1" ref="AS110" ca="1">IF(OR(Formulas!AT108=0,Formulas!AT108=""),"",HYPERLINK("["&amp;Archivo_Nombre&amp;"]Datos!"&amp;LEFT(SUBSTITUTE(ADDRESS(1,Formulas!AT108+2),"$",""))&amp;Formulas!AS108+1,
IFERROR(INDEX(Datos!$A$2:$K$102,Formulas!AS108,Formulas!AT108+2),"")))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21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IFERROR(INDEX(Datos!$A$2:$K$102,Formulas!AW107,RIGHT(Formulas!AY107)+2),"")))</f>
        <v/>
      </c>
      <c r="AX110" s="121" t="str" cm="1">
        <f t="array" aca="1" ref="AX110" ca="1">IF(OR(Formulas!AY108=0,Formulas!AY108=""),"",HYPERLINK("["&amp;Archivo_Nombre&amp;"]Datos!"&amp;LEFT(SUBSTITUTE(ADDRESS(1,Formulas!AY108+2),"$",""))&amp;Formulas!AX108+1,
IFERROR(INDEX(Datos!$A$2:$K$102,Formulas!AX108,Formulas!AY108+2),"")))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21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IFERROR(INDEX(Datos!$A$2:$K$102,Formulas!D108,RIGHT(Formulas!F108)+2),"")))</f>
        <v/>
      </c>
      <c r="E111" s="121" t="str" cm="1">
        <f t="array" aca="1" ref="E111" ca="1">IF(OR(Formulas!F109=0,Formulas!F109=""),"",HYPERLINK("["&amp;Archivo_Nombre&amp;"]Datos!"&amp;LEFT(SUBSTITUTE(ADDRESS(1,Formulas!F109+2),"$",""))&amp;Formulas!E109+1,
IFERROR(INDEX(Datos!$A$2:$K$102,Formulas!E109,Formulas!F109+2),"")))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21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IFERROR(INDEX(Datos!$A$2:$K$102,Formulas!I108,RIGHT(Formulas!K108)+2),"")))</f>
        <v/>
      </c>
      <c r="J111" s="121" t="str" cm="1">
        <f t="array" aca="1" ref="J111" ca="1">IF(OR(Formulas!K109=0,Formulas!K109=""),"",HYPERLINK("["&amp;Archivo_Nombre&amp;"]Datos!"&amp;LEFT(SUBSTITUTE(ADDRESS(1,Formulas!K109+2),"$",""))&amp;Formulas!J109+1,
IFERROR(INDEX(Datos!$A$2:$K$102,Formulas!J109,Formulas!K109+2),"")))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21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IFERROR(INDEX(Datos!$A$2:$K$102,Formulas!N108,RIGHT(Formulas!P108)+2),"")))</f>
        <v/>
      </c>
      <c r="O111" s="121" t="str" cm="1">
        <f t="array" aca="1" ref="O111" ca="1">IF(OR(Formulas!P109=0,Formulas!P109=""),"",HYPERLINK("["&amp;Archivo_Nombre&amp;"]Datos!"&amp;LEFT(SUBSTITUTE(ADDRESS(1,Formulas!P109+2),"$",""))&amp;Formulas!O109+1,
IFERROR(INDEX(Datos!$A$2:$K$102,Formulas!O109,Formulas!P109+2),"")))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21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IFERROR(INDEX(Datos!$A$2:$K$102,Formulas!S108,RIGHT(Formulas!U108)+2),"")))</f>
        <v>0 días</v>
      </c>
      <c r="T111" s="121" t="e" cm="1">
        <f t="array" aca="1" ref="T111" ca="1">IF(OR(Formulas!U109=0,Formulas!U109=""),"",HYPERLINK("["&amp;Archivo_Nombre&amp;"]Datos!"&amp;LEFT(SUBSTITUTE(ADDRESS(1,Formulas!U109+2),"$",""))&amp;Formulas!T109+1,
IFERROR(INDEX(Datos!$A$2:$K$102,Formulas!T109,Formulas!U109+2),"")))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21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IFERROR(INDEX(Datos!$A$2:$K$102,Formulas!X108,RIGHT(Formulas!Z108)+2),"")))</f>
        <v/>
      </c>
      <c r="Y111" s="121" t="str" cm="1">
        <f t="array" aca="1" ref="Y111" ca="1">IF(OR(Formulas!Z109=0,Formulas!Z109=""),"",HYPERLINK("["&amp;Archivo_Nombre&amp;"]Datos!"&amp;LEFT(SUBSTITUTE(ADDRESS(1,Formulas!Z109+2),"$",""))&amp;Formulas!Y109+1,
IFERROR(INDEX(Datos!$A$2:$K$102,Formulas!Y109,Formulas!Z109+2),"")))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21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IFERROR(INDEX(Datos!$A$2:$K$102,Formulas!AC108,RIGHT(Formulas!AE108)+2),"")))</f>
        <v/>
      </c>
      <c r="AD111" s="121" t="str" cm="1">
        <f t="array" aca="1" ref="AD111" ca="1">IF(OR(Formulas!AE109=0,Formulas!AE109=""),"",HYPERLINK("["&amp;Archivo_Nombre&amp;"]Datos!"&amp;LEFT(SUBSTITUTE(ADDRESS(1,Formulas!AE109+2),"$",""))&amp;Formulas!AD109+1,
IFERROR(INDEX(Datos!$A$2:$K$102,Formulas!AD109,Formulas!AE109+2),"")))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21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IFERROR(INDEX(Datos!$A$2:$K$102,Formulas!AH108,RIGHT(Formulas!AJ108)+2),"")))</f>
        <v/>
      </c>
      <c r="AI111" s="121" t="str" cm="1">
        <f t="array" aca="1" ref="AI111" ca="1">IF(OR(Formulas!AJ109=0,Formulas!AJ109=""),"",HYPERLINK("["&amp;Archivo_Nombre&amp;"]Datos!"&amp;LEFT(SUBSTITUTE(ADDRESS(1,Formulas!AJ109+2),"$",""))&amp;Formulas!AI109+1,
IFERROR(INDEX(Datos!$A$2:$K$102,Formulas!AI109,Formulas!AJ109+2),"")))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21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IFERROR(INDEX(Datos!$A$2:$K$102,Formulas!AM108,RIGHT(Formulas!AO108)+2),"")))</f>
        <v/>
      </c>
      <c r="AN111" s="121" t="str" cm="1">
        <f t="array" aca="1" ref="AN111" ca="1">IF(OR(Formulas!AO109=0,Formulas!AO109=""),"",HYPERLINK("["&amp;Archivo_Nombre&amp;"]Datos!"&amp;LEFT(SUBSTITUTE(ADDRESS(1,Formulas!AO109+2),"$",""))&amp;Formulas!AN109+1,
IFERROR(INDEX(Datos!$A$2:$K$102,Formulas!AN109,Formulas!AO109+2),"")))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21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IFERROR(INDEX(Datos!$A$2:$K$102,Formulas!AR108,RIGHT(Formulas!AT108)+2),"")))</f>
        <v/>
      </c>
      <c r="AS111" s="121" t="str" cm="1">
        <f t="array" aca="1" ref="AS111" ca="1">IF(OR(Formulas!AT109=0,Formulas!AT109=""),"",HYPERLINK("["&amp;Archivo_Nombre&amp;"]Datos!"&amp;LEFT(SUBSTITUTE(ADDRESS(1,Formulas!AT109+2),"$",""))&amp;Formulas!AS109+1,
IFERROR(INDEX(Datos!$A$2:$K$102,Formulas!AS109,Formulas!AT109+2),"")))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21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IFERROR(INDEX(Datos!$A$2:$K$102,Formulas!AW108,RIGHT(Formulas!AY108)+2),"")))</f>
        <v/>
      </c>
      <c r="AX111" s="121" t="str" cm="1">
        <f t="array" aca="1" ref="AX111" ca="1">IF(OR(Formulas!AY109=0,Formulas!AY109=""),"",HYPERLINK("["&amp;Archivo_Nombre&amp;"]Datos!"&amp;LEFT(SUBSTITUTE(ADDRESS(1,Formulas!AY109+2),"$",""))&amp;Formulas!AX109+1,
IFERROR(INDEX(Datos!$A$2:$K$102,Formulas!AX109,Formulas!AY109+2),"")))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21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IFERROR(INDEX(Datos!$A$2:$K$102,Formulas!D109,RIGHT(Formulas!F109)+2),"")))</f>
        <v/>
      </c>
      <c r="E112" s="121" t="str" cm="1">
        <f t="array" aca="1" ref="E112" ca="1">IF(OR(Formulas!F110=0,Formulas!F110=""),"",HYPERLINK("["&amp;Archivo_Nombre&amp;"]Datos!"&amp;LEFT(SUBSTITUTE(ADDRESS(1,Formulas!F110+2),"$",""))&amp;Formulas!E110+1,
IFERROR(INDEX(Datos!$A$2:$K$102,Formulas!E110,Formulas!F110+2),"")))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21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IFERROR(INDEX(Datos!$A$2:$K$102,Formulas!I109,RIGHT(Formulas!K109)+2),"")))</f>
        <v/>
      </c>
      <c r="J112" s="121" t="str" cm="1">
        <f t="array" aca="1" ref="J112" ca="1">IF(OR(Formulas!K110=0,Formulas!K110=""),"",HYPERLINK("["&amp;Archivo_Nombre&amp;"]Datos!"&amp;LEFT(SUBSTITUTE(ADDRESS(1,Formulas!K110+2),"$",""))&amp;Formulas!J110+1,
IFERROR(INDEX(Datos!$A$2:$K$102,Formulas!J110,Formulas!K110+2),"")))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21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IFERROR(INDEX(Datos!$A$2:$K$102,Formulas!N109,RIGHT(Formulas!P109)+2),"")))</f>
        <v/>
      </c>
      <c r="O112" s="121" t="str" cm="1">
        <f t="array" aca="1" ref="O112" ca="1">IF(OR(Formulas!P110=0,Formulas!P110=""),"",HYPERLINK("["&amp;Archivo_Nombre&amp;"]Datos!"&amp;LEFT(SUBSTITUTE(ADDRESS(1,Formulas!P110+2),"$",""))&amp;Formulas!O110+1,
IFERROR(INDEX(Datos!$A$2:$K$102,Formulas!O110,Formulas!P110+2),"")))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21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IFERROR(INDEX(Datos!$A$2:$K$102,Formulas!S109,RIGHT(Formulas!U109)+2),"")))</f>
        <v>Ing. Jenny Ruiz</v>
      </c>
      <c r="T112" s="121" t="str" cm="1">
        <f t="array" aca="1" ref="T112" ca="1">IF(OR(Formulas!U110=0,Formulas!U110=""),"",HYPERLINK("["&amp;Archivo_Nombre&amp;"]Datos!"&amp;LEFT(SUBSTITUTE(ADDRESS(1,Formulas!U110+2),"$",""))&amp;Formulas!T110+1,
IFERROR(INDEX(Datos!$A$2:$K$102,Formulas!T110,Formulas!U110+2),"")))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21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IFERROR(INDEX(Datos!$A$2:$K$102,Formulas!X109,RIGHT(Formulas!Z109)+2),"")))</f>
        <v/>
      </c>
      <c r="Y112" s="121" t="str" cm="1">
        <f t="array" aca="1" ref="Y112" ca="1">IF(OR(Formulas!Z110=0,Formulas!Z110=""),"",HYPERLINK("["&amp;Archivo_Nombre&amp;"]Datos!"&amp;LEFT(SUBSTITUTE(ADDRESS(1,Formulas!Z110+2),"$",""))&amp;Formulas!Y110+1,
IFERROR(INDEX(Datos!$A$2:$K$102,Formulas!Y110,Formulas!Z110+2),"")))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21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IFERROR(INDEX(Datos!$A$2:$K$102,Formulas!AC109,RIGHT(Formulas!AE109)+2),"")))</f>
        <v/>
      </c>
      <c r="AD112" s="121" t="str" cm="1">
        <f t="array" aca="1" ref="AD112" ca="1">IF(OR(Formulas!AE110=0,Formulas!AE110=""),"",HYPERLINK("["&amp;Archivo_Nombre&amp;"]Datos!"&amp;LEFT(SUBSTITUTE(ADDRESS(1,Formulas!AE110+2),"$",""))&amp;Formulas!AD110+1,
IFERROR(INDEX(Datos!$A$2:$K$102,Formulas!AD110,Formulas!AE110+2),"")))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21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IFERROR(INDEX(Datos!$A$2:$K$102,Formulas!AH109,RIGHT(Formulas!AJ109)+2),"")))</f>
        <v/>
      </c>
      <c r="AI112" s="121" t="str" cm="1">
        <f t="array" aca="1" ref="AI112" ca="1">IF(OR(Formulas!AJ110=0,Formulas!AJ110=""),"",HYPERLINK("["&amp;Archivo_Nombre&amp;"]Datos!"&amp;LEFT(SUBSTITUTE(ADDRESS(1,Formulas!AJ110+2),"$",""))&amp;Formulas!AI110+1,
IFERROR(INDEX(Datos!$A$2:$K$102,Formulas!AI110,Formulas!AJ110+2),"")))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21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IFERROR(INDEX(Datos!$A$2:$K$102,Formulas!AM109,RIGHT(Formulas!AO109)+2),"")))</f>
        <v/>
      </c>
      <c r="AN112" s="121" t="str" cm="1">
        <f t="array" aca="1" ref="AN112" ca="1">IF(OR(Formulas!AO110=0,Formulas!AO110=""),"",HYPERLINK("["&amp;Archivo_Nombre&amp;"]Datos!"&amp;LEFT(SUBSTITUTE(ADDRESS(1,Formulas!AO110+2),"$",""))&amp;Formulas!AN110+1,
IFERROR(INDEX(Datos!$A$2:$K$102,Formulas!AN110,Formulas!AO110+2),"")))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21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IFERROR(INDEX(Datos!$A$2:$K$102,Formulas!AR109,RIGHT(Formulas!AT109)+2),"")))</f>
        <v/>
      </c>
      <c r="AS112" s="121" t="str" cm="1">
        <f t="array" aca="1" ref="AS112" ca="1">IF(OR(Formulas!AT110=0,Formulas!AT110=""),"",HYPERLINK("["&amp;Archivo_Nombre&amp;"]Datos!"&amp;LEFT(SUBSTITUTE(ADDRESS(1,Formulas!AT110+2),"$",""))&amp;Formulas!AS110+1,
IFERROR(INDEX(Datos!$A$2:$K$102,Formulas!AS110,Formulas!AT110+2),"")))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21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IFERROR(INDEX(Datos!$A$2:$K$102,Formulas!AW109,RIGHT(Formulas!AY109)+2),"")))</f>
        <v/>
      </c>
      <c r="AX112" s="121" t="str" cm="1">
        <f t="array" aca="1" ref="AX112" ca="1">IF(OR(Formulas!AY110=0,Formulas!AY110=""),"",HYPERLINK("["&amp;Archivo_Nombre&amp;"]Datos!"&amp;LEFT(SUBSTITUTE(ADDRESS(1,Formulas!AY110+2),"$",""))&amp;Formulas!AX110+1,
IFERROR(INDEX(Datos!$A$2:$K$102,Formulas!AX110,Formulas!AY110+2),"")))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21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IFERROR(INDEX(Datos!$A$2:$K$102,Formulas!D110,RIGHT(Formulas!F110)+2),"")))</f>
        <v/>
      </c>
      <c r="E113" s="121" t="str" cm="1">
        <f t="array" aca="1" ref="E113" ca="1">IF(OR(Formulas!F111=0,Formulas!F111=""),"",HYPERLINK("["&amp;Archivo_Nombre&amp;"]Datos!"&amp;LEFT(SUBSTITUTE(ADDRESS(1,Formulas!F111+2),"$",""))&amp;Formulas!E111+1,
IFERROR(INDEX(Datos!$A$2:$K$102,Formulas!E111,Formulas!F111+2),"")))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21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IFERROR(INDEX(Datos!$A$2:$K$102,Formulas!I110,RIGHT(Formulas!K110)+2),"")))</f>
        <v/>
      </c>
      <c r="J113" s="121" t="str" cm="1">
        <f t="array" aca="1" ref="J113" ca="1">IF(OR(Formulas!K111=0,Formulas!K111=""),"",HYPERLINK("["&amp;Archivo_Nombre&amp;"]Datos!"&amp;LEFT(SUBSTITUTE(ADDRESS(1,Formulas!K111+2),"$",""))&amp;Formulas!J111+1,
IFERROR(INDEX(Datos!$A$2:$K$102,Formulas!J111,Formulas!K111+2),"")))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21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IFERROR(INDEX(Datos!$A$2:$K$102,Formulas!N110,RIGHT(Formulas!P110)+2),"")))</f>
        <v/>
      </c>
      <c r="O113" s="121" t="str" cm="1">
        <f t="array" aca="1" ref="O113" ca="1">IF(OR(Formulas!P111=0,Formulas!P111=""),"",HYPERLINK("["&amp;Archivo_Nombre&amp;"]Datos!"&amp;LEFT(SUBSTITUTE(ADDRESS(1,Formulas!P111+2),"$",""))&amp;Formulas!O111+1,
IFERROR(INDEX(Datos!$A$2:$K$102,Formulas!O111,Formulas!P111+2),"")))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21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IFERROR(INDEX(Datos!$A$2:$K$102,Formulas!S110,RIGHT(Formulas!U110)+2),"")))</f>
        <v/>
      </c>
      <c r="T113" s="121" t="e" cm="1">
        <f t="array" aca="1" ref="T113" ca="1">IF(OR(Formulas!U111=0,Formulas!U111=""),"",HYPERLINK("["&amp;Archivo_Nombre&amp;"]Datos!"&amp;LEFT(SUBSTITUTE(ADDRESS(1,Formulas!U111+2),"$",""))&amp;Formulas!T111+1,
IFERROR(INDEX(Datos!$A$2:$K$102,Formulas!T111,Formulas!U111+2),"")))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21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IFERROR(INDEX(Datos!$A$2:$K$102,Formulas!X110,RIGHT(Formulas!Z110)+2),"")))</f>
        <v/>
      </c>
      <c r="Y113" s="121" t="str" cm="1">
        <f t="array" aca="1" ref="Y113" ca="1">IF(OR(Formulas!Z111=0,Formulas!Z111=""),"",HYPERLINK("["&amp;Archivo_Nombre&amp;"]Datos!"&amp;LEFT(SUBSTITUTE(ADDRESS(1,Formulas!Z111+2),"$",""))&amp;Formulas!Y111+1,
IFERROR(INDEX(Datos!$A$2:$K$102,Formulas!Y111,Formulas!Z111+2),"")))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21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IFERROR(INDEX(Datos!$A$2:$K$102,Formulas!AC110,RIGHT(Formulas!AE110)+2),"")))</f>
        <v/>
      </c>
      <c r="AD113" s="121" t="str" cm="1">
        <f t="array" aca="1" ref="AD113" ca="1">IF(OR(Formulas!AE111=0,Formulas!AE111=""),"",HYPERLINK("["&amp;Archivo_Nombre&amp;"]Datos!"&amp;LEFT(SUBSTITUTE(ADDRESS(1,Formulas!AE111+2),"$",""))&amp;Formulas!AD111+1,
IFERROR(INDEX(Datos!$A$2:$K$102,Formulas!AD111,Formulas!AE111+2),"")))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21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IFERROR(INDEX(Datos!$A$2:$K$102,Formulas!AH110,RIGHT(Formulas!AJ110)+2),"")))</f>
        <v/>
      </c>
      <c r="AI113" s="121" t="str" cm="1">
        <f t="array" aca="1" ref="AI113" ca="1">IF(OR(Formulas!AJ111=0,Formulas!AJ111=""),"",HYPERLINK("["&amp;Archivo_Nombre&amp;"]Datos!"&amp;LEFT(SUBSTITUTE(ADDRESS(1,Formulas!AJ111+2),"$",""))&amp;Formulas!AI111+1,
IFERROR(INDEX(Datos!$A$2:$K$102,Formulas!AI111,Formulas!AJ111+2),"")))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21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IFERROR(INDEX(Datos!$A$2:$K$102,Formulas!AM110,RIGHT(Formulas!AO110)+2),"")))</f>
        <v/>
      </c>
      <c r="AN113" s="121" t="str" cm="1">
        <f t="array" aca="1" ref="AN113" ca="1">IF(OR(Formulas!AO111=0,Formulas!AO111=""),"",HYPERLINK("["&amp;Archivo_Nombre&amp;"]Datos!"&amp;LEFT(SUBSTITUTE(ADDRESS(1,Formulas!AO111+2),"$",""))&amp;Formulas!AN111+1,
IFERROR(INDEX(Datos!$A$2:$K$102,Formulas!AN111,Formulas!AO111+2),"")))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21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IFERROR(INDEX(Datos!$A$2:$K$102,Formulas!AR110,RIGHT(Formulas!AT110)+2),"")))</f>
        <v/>
      </c>
      <c r="AS113" s="121" t="str" cm="1">
        <f t="array" aca="1" ref="AS113" ca="1">IF(OR(Formulas!AT111=0,Formulas!AT111=""),"",HYPERLINK("["&amp;Archivo_Nombre&amp;"]Datos!"&amp;LEFT(SUBSTITUTE(ADDRESS(1,Formulas!AT111+2),"$",""))&amp;Formulas!AS111+1,
IFERROR(INDEX(Datos!$A$2:$K$102,Formulas!AS111,Formulas!AT111+2),"")))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21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IFERROR(INDEX(Datos!$A$2:$K$102,Formulas!AW110,RIGHT(Formulas!AY110)+2),"")))</f>
        <v/>
      </c>
      <c r="AX113" s="121" t="str" cm="1">
        <f t="array" aca="1" ref="AX113" ca="1">IF(OR(Formulas!AY111=0,Formulas!AY111=""),"",HYPERLINK("["&amp;Archivo_Nombre&amp;"]Datos!"&amp;LEFT(SUBSTITUTE(ADDRESS(1,Formulas!AY111+2),"$",""))&amp;Formulas!AX111+1,
IFERROR(INDEX(Datos!$A$2:$K$102,Formulas!AX111,Formulas!AY111+2),"")))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21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IFERROR(INDEX(Datos!$A$2:$K$102,Formulas!D111,RIGHT(Formulas!F111)+2),"")))</f>
        <v/>
      </c>
      <c r="E114" s="121" t="str" cm="1">
        <f t="array" aca="1" ref="E114" ca="1">IF(OR(Formulas!F112=0,Formulas!F112=""),"",HYPERLINK("["&amp;Archivo_Nombre&amp;"]Datos!"&amp;LEFT(SUBSTITUTE(ADDRESS(1,Formulas!F112+2),"$",""))&amp;Formulas!E112+1,
IFERROR(INDEX(Datos!$A$2:$K$102,Formulas!E112,Formulas!F112+2),"")))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21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IFERROR(INDEX(Datos!$A$2:$K$102,Formulas!I111,RIGHT(Formulas!K111)+2),"")))</f>
        <v/>
      </c>
      <c r="J114" s="121" t="str" cm="1">
        <f t="array" aca="1" ref="J114" ca="1">IF(OR(Formulas!K112=0,Formulas!K112=""),"",HYPERLINK("["&amp;Archivo_Nombre&amp;"]Datos!"&amp;LEFT(SUBSTITUTE(ADDRESS(1,Formulas!K112+2),"$",""))&amp;Formulas!J112+1,
IFERROR(INDEX(Datos!$A$2:$K$102,Formulas!J112,Formulas!K112+2),"")))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21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IFERROR(INDEX(Datos!$A$2:$K$102,Formulas!N111,RIGHT(Formulas!P111)+2),"")))</f>
        <v/>
      </c>
      <c r="O114" s="121" t="str" cm="1">
        <f t="array" aca="1" ref="O114" ca="1">IF(OR(Formulas!P112=0,Formulas!P112=""),"",HYPERLINK("["&amp;Archivo_Nombre&amp;"]Datos!"&amp;LEFT(SUBSTITUTE(ADDRESS(1,Formulas!P112+2),"$",""))&amp;Formulas!O112+1,
IFERROR(INDEX(Datos!$A$2:$K$102,Formulas!O112,Formulas!P112+2),"")))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46:</v>
      </c>
      <c r="S114" s="121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IFERROR(INDEX(Datos!$A$2:$K$102,Formulas!S111,RIGHT(Formulas!U111)+2),"")))</f>
        <v>REQ005-3 Desarrollar la lógica de backend para filtrar y mostrar los contratos que coincidan con los datos ingresados.</v>
      </c>
      <c r="T114" s="121" t="e" cm="1">
        <f t="array" aca="1" ref="T114" ca="1">IF(OR(Formulas!U112=0,Formulas!U112=""),"",HYPERLINK("["&amp;Archivo_Nombre&amp;"]Datos!"&amp;LEFT(SUBSTITUTE(ADDRESS(1,Formulas!U112+2),"$",""))&amp;Formulas!T112+1,
IFERROR(INDEX(Datos!$A$2:$K$102,Formulas!T112,Formulas!U112+2),"")))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21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IFERROR(INDEX(Datos!$A$2:$K$102,Formulas!X111,RIGHT(Formulas!Z111)+2),"")))</f>
        <v/>
      </c>
      <c r="Y114" s="121" t="str" cm="1">
        <f t="array" aca="1" ref="Y114" ca="1">IF(OR(Formulas!Z112=0,Formulas!Z112=""),"",HYPERLINK("["&amp;Archivo_Nombre&amp;"]Datos!"&amp;LEFT(SUBSTITUTE(ADDRESS(1,Formulas!Z112+2),"$",""))&amp;Formulas!Y112+1,
IFERROR(INDEX(Datos!$A$2:$K$102,Formulas!Y112,Formulas!Z112+2),"")))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21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IFERROR(INDEX(Datos!$A$2:$K$102,Formulas!AC111,RIGHT(Formulas!AE111)+2),"")))</f>
        <v/>
      </c>
      <c r="AD114" s="121" t="str" cm="1">
        <f t="array" aca="1" ref="AD114" ca="1">IF(OR(Formulas!AE112=0,Formulas!AE112=""),"",HYPERLINK("["&amp;Archivo_Nombre&amp;"]Datos!"&amp;LEFT(SUBSTITUTE(ADDRESS(1,Formulas!AE112+2),"$",""))&amp;Formulas!AD112+1,
IFERROR(INDEX(Datos!$A$2:$K$102,Formulas!AD112,Formulas!AE112+2),"")))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21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IFERROR(INDEX(Datos!$A$2:$K$102,Formulas!AH111,RIGHT(Formulas!AJ111)+2),"")))</f>
        <v/>
      </c>
      <c r="AI114" s="121" t="str" cm="1">
        <f t="array" aca="1" ref="AI114" ca="1">IF(OR(Formulas!AJ112=0,Formulas!AJ112=""),"",HYPERLINK("["&amp;Archivo_Nombre&amp;"]Datos!"&amp;LEFT(SUBSTITUTE(ADDRESS(1,Formulas!AJ112+2),"$",""))&amp;Formulas!AI112+1,
IFERROR(INDEX(Datos!$A$2:$K$102,Formulas!AI112,Formulas!AJ112+2),"")))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21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IFERROR(INDEX(Datos!$A$2:$K$102,Formulas!AM111,RIGHT(Formulas!AO111)+2),"")))</f>
        <v/>
      </c>
      <c r="AN114" s="121" t="str" cm="1">
        <f t="array" aca="1" ref="AN114" ca="1">IF(OR(Formulas!AO112=0,Formulas!AO112=""),"",HYPERLINK("["&amp;Archivo_Nombre&amp;"]Datos!"&amp;LEFT(SUBSTITUTE(ADDRESS(1,Formulas!AO112+2),"$",""))&amp;Formulas!AN112+1,
IFERROR(INDEX(Datos!$A$2:$K$102,Formulas!AN112,Formulas!AO112+2),"")))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21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IFERROR(INDEX(Datos!$A$2:$K$102,Formulas!AR111,RIGHT(Formulas!AT111)+2),"")))</f>
        <v/>
      </c>
      <c r="AS114" s="121" t="str" cm="1">
        <f t="array" aca="1" ref="AS114" ca="1">IF(OR(Formulas!AT112=0,Formulas!AT112=""),"",HYPERLINK("["&amp;Archivo_Nombre&amp;"]Datos!"&amp;LEFT(SUBSTITUTE(ADDRESS(1,Formulas!AT112+2),"$",""))&amp;Formulas!AS112+1,
IFERROR(INDEX(Datos!$A$2:$K$102,Formulas!AS112,Formulas!AT112+2),"")))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21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IFERROR(INDEX(Datos!$A$2:$K$102,Formulas!AW111,RIGHT(Formulas!AY111)+2),"")))</f>
        <v/>
      </c>
      <c r="AX114" s="121" t="str" cm="1">
        <f t="array" aca="1" ref="AX114" ca="1">IF(OR(Formulas!AY112=0,Formulas!AY112=""),"",HYPERLINK("["&amp;Archivo_Nombre&amp;"]Datos!"&amp;LEFT(SUBSTITUTE(ADDRESS(1,Formulas!AY112+2),"$",""))&amp;Formulas!AX112+1,
IFERROR(INDEX(Datos!$A$2:$K$102,Formulas!AX112,Formulas!AY112+2),"")))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21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IFERROR(INDEX(Datos!$A$2:$K$102,Formulas!D112,RIGHT(Formulas!F112)+2),"")))</f>
        <v/>
      </c>
      <c r="E115" s="121" t="str" cm="1">
        <f t="array" aca="1" ref="E115" ca="1">IF(OR(Formulas!F113=0,Formulas!F113=""),"",HYPERLINK("["&amp;Archivo_Nombre&amp;"]Datos!"&amp;LEFT(SUBSTITUTE(ADDRESS(1,Formulas!F113+2),"$",""))&amp;Formulas!E113+1,
IFERROR(INDEX(Datos!$A$2:$K$102,Formulas!E113,Formulas!F113+2),"")))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21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IFERROR(INDEX(Datos!$A$2:$K$102,Formulas!I112,RIGHT(Formulas!K112)+2),"")))</f>
        <v/>
      </c>
      <c r="J115" s="121" t="str" cm="1">
        <f t="array" aca="1" ref="J115" ca="1">IF(OR(Formulas!K113=0,Formulas!K113=""),"",HYPERLINK("["&amp;Archivo_Nombre&amp;"]Datos!"&amp;LEFT(SUBSTITUTE(ADDRESS(1,Formulas!K113+2),"$",""))&amp;Formulas!J113+1,
IFERROR(INDEX(Datos!$A$2:$K$102,Formulas!J113,Formulas!K113+2),"")))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21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IFERROR(INDEX(Datos!$A$2:$K$102,Formulas!N112,RIGHT(Formulas!P112)+2),"")))</f>
        <v/>
      </c>
      <c r="O115" s="121" t="str" cm="1">
        <f t="array" aca="1" ref="O115" ca="1">IF(OR(Formulas!P113=0,Formulas!P113=""),"",HYPERLINK("["&amp;Archivo_Nombre&amp;"]Datos!"&amp;LEFT(SUBSTITUTE(ADDRESS(1,Formulas!P113+2),"$",""))&amp;Formulas!O113+1,
IFERROR(INDEX(Datos!$A$2:$K$102,Formulas!O113,Formulas!P113+2),"")))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21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IFERROR(INDEX(Datos!$A$2:$K$102,Formulas!S112,RIGHT(Formulas!U112)+2),"")))</f>
        <v>Desarrollo de lógica backend</v>
      </c>
      <c r="T115" s="121" t="e" cm="1">
        <f t="array" aca="1" ref="T115" ca="1">IF(OR(Formulas!U113=0,Formulas!U113=""),"",HYPERLINK("["&amp;Archivo_Nombre&amp;"]Datos!"&amp;LEFT(SUBSTITUTE(ADDRESS(1,Formulas!U113+2),"$",""))&amp;Formulas!T113+1,
IFERROR(INDEX(Datos!$A$2:$K$102,Formulas!T113,Formulas!U113+2),"")))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21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IFERROR(INDEX(Datos!$A$2:$K$102,Formulas!X112,RIGHT(Formulas!Z112)+2),"")))</f>
        <v/>
      </c>
      <c r="Y115" s="121" t="str" cm="1">
        <f t="array" aca="1" ref="Y115" ca="1">IF(OR(Formulas!Z113=0,Formulas!Z113=""),"",HYPERLINK("["&amp;Archivo_Nombre&amp;"]Datos!"&amp;LEFT(SUBSTITUTE(ADDRESS(1,Formulas!Z113+2),"$",""))&amp;Formulas!Y113+1,
IFERROR(INDEX(Datos!$A$2:$K$102,Formulas!Y113,Formulas!Z113+2),"")))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21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IFERROR(INDEX(Datos!$A$2:$K$102,Formulas!AC112,RIGHT(Formulas!AE112)+2),"")))</f>
        <v/>
      </c>
      <c r="AD115" s="121" t="str" cm="1">
        <f t="array" aca="1" ref="AD115" ca="1">IF(OR(Formulas!AE113=0,Formulas!AE113=""),"",HYPERLINK("["&amp;Archivo_Nombre&amp;"]Datos!"&amp;LEFT(SUBSTITUTE(ADDRESS(1,Formulas!AE113+2),"$",""))&amp;Formulas!AD113+1,
IFERROR(INDEX(Datos!$A$2:$K$102,Formulas!AD113,Formulas!AE113+2),"")))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21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IFERROR(INDEX(Datos!$A$2:$K$102,Formulas!AH112,RIGHT(Formulas!AJ112)+2),"")))</f>
        <v/>
      </c>
      <c r="AI115" s="121" t="str" cm="1">
        <f t="array" aca="1" ref="AI115" ca="1">IF(OR(Formulas!AJ113=0,Formulas!AJ113=""),"",HYPERLINK("["&amp;Archivo_Nombre&amp;"]Datos!"&amp;LEFT(SUBSTITUTE(ADDRESS(1,Formulas!AJ113+2),"$",""))&amp;Formulas!AI113+1,
IFERROR(INDEX(Datos!$A$2:$K$102,Formulas!AI113,Formulas!AJ113+2),"")))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21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IFERROR(INDEX(Datos!$A$2:$K$102,Formulas!AM112,RIGHT(Formulas!AO112)+2),"")))</f>
        <v/>
      </c>
      <c r="AN115" s="121" t="str" cm="1">
        <f t="array" aca="1" ref="AN115" ca="1">IF(OR(Formulas!AO113=0,Formulas!AO113=""),"",HYPERLINK("["&amp;Archivo_Nombre&amp;"]Datos!"&amp;LEFT(SUBSTITUTE(ADDRESS(1,Formulas!AO113+2),"$",""))&amp;Formulas!AN113+1,
IFERROR(INDEX(Datos!$A$2:$K$102,Formulas!AN113,Formulas!AO113+2),"")))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21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IFERROR(INDEX(Datos!$A$2:$K$102,Formulas!AR112,RIGHT(Formulas!AT112)+2),"")))</f>
        <v/>
      </c>
      <c r="AS115" s="121" t="str" cm="1">
        <f t="array" aca="1" ref="AS115" ca="1">IF(OR(Formulas!AT113=0,Formulas!AT113=""),"",HYPERLINK("["&amp;Archivo_Nombre&amp;"]Datos!"&amp;LEFT(SUBSTITUTE(ADDRESS(1,Formulas!AT113+2),"$",""))&amp;Formulas!AS113+1,
IFERROR(INDEX(Datos!$A$2:$K$102,Formulas!AS113,Formulas!AT113+2),"")))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21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IFERROR(INDEX(Datos!$A$2:$K$102,Formulas!AW112,RIGHT(Formulas!AY112)+2),"")))</f>
        <v/>
      </c>
      <c r="AX115" s="121" t="str" cm="1">
        <f t="array" aca="1" ref="AX115" ca="1">IF(OR(Formulas!AY113=0,Formulas!AY113=""),"",HYPERLINK("["&amp;Archivo_Nombre&amp;"]Datos!"&amp;LEFT(SUBSTITUTE(ADDRESS(1,Formulas!AY113+2),"$",""))&amp;Formulas!AX113+1,
IFERROR(INDEX(Datos!$A$2:$K$102,Formulas!AX113,Formulas!AY113+2),"")))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21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IFERROR(INDEX(Datos!$A$2:$K$102,Formulas!D113,RIGHT(Formulas!F113)+2),"")))</f>
        <v/>
      </c>
      <c r="E116" s="121" t="str" cm="1">
        <f t="array" aca="1" ref="E116" ca="1">IF(OR(Formulas!F114=0,Formulas!F114=""),"",HYPERLINK("["&amp;Archivo_Nombre&amp;"]Datos!"&amp;LEFT(SUBSTITUTE(ADDRESS(1,Formulas!F114+2),"$",""))&amp;Formulas!E114+1,
IFERROR(INDEX(Datos!$A$2:$K$102,Formulas!E114,Formulas!F114+2),"")))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21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IFERROR(INDEX(Datos!$A$2:$K$102,Formulas!I113,RIGHT(Formulas!K113)+2),"")))</f>
        <v/>
      </c>
      <c r="J116" s="121" t="str" cm="1">
        <f t="array" aca="1" ref="J116" ca="1">IF(OR(Formulas!K114=0,Formulas!K114=""),"",HYPERLINK("["&amp;Archivo_Nombre&amp;"]Datos!"&amp;LEFT(SUBSTITUTE(ADDRESS(1,Formulas!K114+2),"$",""))&amp;Formulas!J114+1,
IFERROR(INDEX(Datos!$A$2:$K$102,Formulas!J114,Formulas!K114+2),"")))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21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IFERROR(INDEX(Datos!$A$2:$K$102,Formulas!N113,RIGHT(Formulas!P113)+2),"")))</f>
        <v/>
      </c>
      <c r="O116" s="121" t="str" cm="1">
        <f t="array" aca="1" ref="O116" ca="1">IF(OR(Formulas!P114=0,Formulas!P114=""),"",HYPERLINK("["&amp;Archivo_Nombre&amp;"]Datos!"&amp;LEFT(SUBSTITUTE(ADDRESS(1,Formulas!P114+2),"$",""))&amp;Formulas!O114+1,
IFERROR(INDEX(Datos!$A$2:$K$102,Formulas!O114,Formulas!P114+2),"")))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21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IFERROR(INDEX(Datos!$A$2:$K$102,Formulas!S113,RIGHT(Formulas!U113)+2),"")))</f>
        <v>45847</v>
      </c>
      <c r="T116" s="121" t="e" cm="1">
        <f t="array" aca="1" ref="T116" ca="1">IF(OR(Formulas!U114=0,Formulas!U114=""),"",HYPERLINK("["&amp;Archivo_Nombre&amp;"]Datos!"&amp;LEFT(SUBSTITUTE(ADDRESS(1,Formulas!U114+2),"$",""))&amp;Formulas!T114+1,
IFERROR(INDEX(Datos!$A$2:$K$102,Formulas!T114,Formulas!U114+2),"")))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21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IFERROR(INDEX(Datos!$A$2:$K$102,Formulas!X113,RIGHT(Formulas!Z113)+2),"")))</f>
        <v/>
      </c>
      <c r="Y116" s="121" t="str" cm="1">
        <f t="array" aca="1" ref="Y116" ca="1">IF(OR(Formulas!Z114=0,Formulas!Z114=""),"",HYPERLINK("["&amp;Archivo_Nombre&amp;"]Datos!"&amp;LEFT(SUBSTITUTE(ADDRESS(1,Formulas!Z114+2),"$",""))&amp;Formulas!Y114+1,
IFERROR(INDEX(Datos!$A$2:$K$102,Formulas!Y114,Formulas!Z114+2),"")))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21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IFERROR(INDEX(Datos!$A$2:$K$102,Formulas!AC113,RIGHT(Formulas!AE113)+2),"")))</f>
        <v/>
      </c>
      <c r="AD116" s="121" t="str" cm="1">
        <f t="array" aca="1" ref="AD116" ca="1">IF(OR(Formulas!AE114=0,Formulas!AE114=""),"",HYPERLINK("["&amp;Archivo_Nombre&amp;"]Datos!"&amp;LEFT(SUBSTITUTE(ADDRESS(1,Formulas!AE114+2),"$",""))&amp;Formulas!AD114+1,
IFERROR(INDEX(Datos!$A$2:$K$102,Formulas!AD114,Formulas!AE114+2),"")))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21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IFERROR(INDEX(Datos!$A$2:$K$102,Formulas!AH113,RIGHT(Formulas!AJ113)+2),"")))</f>
        <v/>
      </c>
      <c r="AI116" s="121" t="str" cm="1">
        <f t="array" aca="1" ref="AI116" ca="1">IF(OR(Formulas!AJ114=0,Formulas!AJ114=""),"",HYPERLINK("["&amp;Archivo_Nombre&amp;"]Datos!"&amp;LEFT(SUBSTITUTE(ADDRESS(1,Formulas!AJ114+2),"$",""))&amp;Formulas!AI114+1,
IFERROR(INDEX(Datos!$A$2:$K$102,Formulas!AI114,Formulas!AJ114+2),"")))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21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IFERROR(INDEX(Datos!$A$2:$K$102,Formulas!AM113,RIGHT(Formulas!AO113)+2),"")))</f>
        <v/>
      </c>
      <c r="AN116" s="121" t="str" cm="1">
        <f t="array" aca="1" ref="AN116" ca="1">IF(OR(Formulas!AO114=0,Formulas!AO114=""),"",HYPERLINK("["&amp;Archivo_Nombre&amp;"]Datos!"&amp;LEFT(SUBSTITUTE(ADDRESS(1,Formulas!AO114+2),"$",""))&amp;Formulas!AN114+1,
IFERROR(INDEX(Datos!$A$2:$K$102,Formulas!AN114,Formulas!AO114+2),"")))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21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IFERROR(INDEX(Datos!$A$2:$K$102,Formulas!AR113,RIGHT(Formulas!AT113)+2),"")))</f>
        <v/>
      </c>
      <c r="AS116" s="121" t="str" cm="1">
        <f t="array" aca="1" ref="AS116" ca="1">IF(OR(Formulas!AT114=0,Formulas!AT114=""),"",HYPERLINK("["&amp;Archivo_Nombre&amp;"]Datos!"&amp;LEFT(SUBSTITUTE(ADDRESS(1,Formulas!AT114+2),"$",""))&amp;Formulas!AS114+1,
IFERROR(INDEX(Datos!$A$2:$K$102,Formulas!AS114,Formulas!AT114+2),"")))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21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IFERROR(INDEX(Datos!$A$2:$K$102,Formulas!AW113,RIGHT(Formulas!AY113)+2),"")))</f>
        <v/>
      </c>
      <c r="AX116" s="121" t="str" cm="1">
        <f t="array" aca="1" ref="AX116" ca="1">IF(OR(Formulas!AY114=0,Formulas!AY114=""),"",HYPERLINK("["&amp;Archivo_Nombre&amp;"]Datos!"&amp;LEFT(SUBSTITUTE(ADDRESS(1,Formulas!AY114+2),"$",""))&amp;Formulas!AX114+1,
IFERROR(INDEX(Datos!$A$2:$K$102,Formulas!AX114,Formulas!AY114+2),"")))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21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IFERROR(INDEX(Datos!$A$2:$K$102,Formulas!D114,RIGHT(Formulas!F114)+2),"")))</f>
        <v/>
      </c>
      <c r="E117" s="121" t="str" cm="1">
        <f t="array" aca="1" ref="E117" ca="1">IF(OR(Formulas!F115=0,Formulas!F115=""),"",HYPERLINK("["&amp;Archivo_Nombre&amp;"]Datos!"&amp;LEFT(SUBSTITUTE(ADDRESS(1,Formulas!F115+2),"$",""))&amp;Formulas!E115+1,
IFERROR(INDEX(Datos!$A$2:$K$102,Formulas!E115,Formulas!F115+2),"")))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21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IFERROR(INDEX(Datos!$A$2:$K$102,Formulas!I114,RIGHT(Formulas!K114)+2),"")))</f>
        <v/>
      </c>
      <c r="J117" s="121" t="str" cm="1">
        <f t="array" aca="1" ref="J117" ca="1">IF(OR(Formulas!K115=0,Formulas!K115=""),"",HYPERLINK("["&amp;Archivo_Nombre&amp;"]Datos!"&amp;LEFT(SUBSTITUTE(ADDRESS(1,Formulas!K115+2),"$",""))&amp;Formulas!J115+1,
IFERROR(INDEX(Datos!$A$2:$K$102,Formulas!J115,Formulas!K115+2),"")))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21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IFERROR(INDEX(Datos!$A$2:$K$102,Formulas!N114,RIGHT(Formulas!P114)+2),"")))</f>
        <v/>
      </c>
      <c r="O117" s="121" t="str" cm="1">
        <f t="array" aca="1" ref="O117" ca="1">IF(OR(Formulas!P115=0,Formulas!P115=""),"",HYPERLINK("["&amp;Archivo_Nombre&amp;"]Datos!"&amp;LEFT(SUBSTITUTE(ADDRESS(1,Formulas!P115+2),"$",""))&amp;Formulas!O115+1,
IFERROR(INDEX(Datos!$A$2:$K$102,Formulas!O115,Formulas!P115+2),"")))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21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IFERROR(INDEX(Datos!$A$2:$K$102,Formulas!S114,RIGHT(Formulas!U114)+2),"")))</f>
        <v>45849</v>
      </c>
      <c r="T117" s="121" t="e" cm="1">
        <f t="array" aca="1" ref="T117" ca="1">IF(OR(Formulas!U115=0,Formulas!U115=""),"",HYPERLINK("["&amp;Archivo_Nombre&amp;"]Datos!"&amp;LEFT(SUBSTITUTE(ADDRESS(1,Formulas!U115+2),"$",""))&amp;Formulas!T115+1,
IFERROR(INDEX(Datos!$A$2:$K$102,Formulas!T115,Formulas!U115+2),"")))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21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IFERROR(INDEX(Datos!$A$2:$K$102,Formulas!X114,RIGHT(Formulas!Z114)+2),"")))</f>
        <v/>
      </c>
      <c r="Y117" s="121" t="str" cm="1">
        <f t="array" aca="1" ref="Y117" ca="1">IF(OR(Formulas!Z115=0,Formulas!Z115=""),"",HYPERLINK("["&amp;Archivo_Nombre&amp;"]Datos!"&amp;LEFT(SUBSTITUTE(ADDRESS(1,Formulas!Z115+2),"$",""))&amp;Formulas!Y115+1,
IFERROR(INDEX(Datos!$A$2:$K$102,Formulas!Y115,Formulas!Z115+2),"")))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21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IFERROR(INDEX(Datos!$A$2:$K$102,Formulas!AC114,RIGHT(Formulas!AE114)+2),"")))</f>
        <v/>
      </c>
      <c r="AD117" s="121" t="str" cm="1">
        <f t="array" aca="1" ref="AD117" ca="1">IF(OR(Formulas!AE115=0,Formulas!AE115=""),"",HYPERLINK("["&amp;Archivo_Nombre&amp;"]Datos!"&amp;LEFT(SUBSTITUTE(ADDRESS(1,Formulas!AE115+2),"$",""))&amp;Formulas!AD115+1,
IFERROR(INDEX(Datos!$A$2:$K$102,Formulas!AD115,Formulas!AE115+2),"")))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21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IFERROR(INDEX(Datos!$A$2:$K$102,Formulas!AH114,RIGHT(Formulas!AJ114)+2),"")))</f>
        <v/>
      </c>
      <c r="AI117" s="121" t="str" cm="1">
        <f t="array" aca="1" ref="AI117" ca="1">IF(OR(Formulas!AJ115=0,Formulas!AJ115=""),"",HYPERLINK("["&amp;Archivo_Nombre&amp;"]Datos!"&amp;LEFT(SUBSTITUTE(ADDRESS(1,Formulas!AJ115+2),"$",""))&amp;Formulas!AI115+1,
IFERROR(INDEX(Datos!$A$2:$K$102,Formulas!AI115,Formulas!AJ115+2),"")))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21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IFERROR(INDEX(Datos!$A$2:$K$102,Formulas!AM114,RIGHT(Formulas!AO114)+2),"")))</f>
        <v/>
      </c>
      <c r="AN117" s="121" t="str" cm="1">
        <f t="array" aca="1" ref="AN117" ca="1">IF(OR(Formulas!AO115=0,Formulas!AO115=""),"",HYPERLINK("["&amp;Archivo_Nombre&amp;"]Datos!"&amp;LEFT(SUBSTITUTE(ADDRESS(1,Formulas!AO115+2),"$",""))&amp;Formulas!AN115+1,
IFERROR(INDEX(Datos!$A$2:$K$102,Formulas!AN115,Formulas!AO115+2),"")))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21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IFERROR(INDEX(Datos!$A$2:$K$102,Formulas!AR114,RIGHT(Formulas!AT114)+2),"")))</f>
        <v/>
      </c>
      <c r="AS117" s="121" t="str" cm="1">
        <f t="array" aca="1" ref="AS117" ca="1">IF(OR(Formulas!AT115=0,Formulas!AT115=""),"",HYPERLINK("["&amp;Archivo_Nombre&amp;"]Datos!"&amp;LEFT(SUBSTITUTE(ADDRESS(1,Formulas!AT115+2),"$",""))&amp;Formulas!AS115+1,
IFERROR(INDEX(Datos!$A$2:$K$102,Formulas!AS115,Formulas!AT115+2),"")))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21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IFERROR(INDEX(Datos!$A$2:$K$102,Formulas!AW114,RIGHT(Formulas!AY114)+2),"")))</f>
        <v/>
      </c>
      <c r="AX117" s="121" t="str" cm="1">
        <f t="array" aca="1" ref="AX117" ca="1">IF(OR(Formulas!AY115=0,Formulas!AY115=""),"",HYPERLINK("["&amp;Archivo_Nombre&amp;"]Datos!"&amp;LEFT(SUBSTITUTE(ADDRESS(1,Formulas!AY115+2),"$",""))&amp;Formulas!AX115+1,
IFERROR(INDEX(Datos!$A$2:$K$102,Formulas!AX115,Formulas!AY115+2),"")))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21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IFERROR(INDEX(Datos!$A$2:$K$102,Formulas!D115,RIGHT(Formulas!F115)+2),"")))</f>
        <v/>
      </c>
      <c r="E118" s="121" t="str" cm="1">
        <f t="array" aca="1" ref="E118" ca="1">IF(OR(Formulas!F116=0,Formulas!F116=""),"",HYPERLINK("["&amp;Archivo_Nombre&amp;"]Datos!"&amp;LEFT(SUBSTITUTE(ADDRESS(1,Formulas!F116+2),"$",""))&amp;Formulas!E116+1,
IFERROR(INDEX(Datos!$A$2:$K$102,Formulas!E116,Formulas!F116+2),"")))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21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IFERROR(INDEX(Datos!$A$2:$K$102,Formulas!I115,RIGHT(Formulas!K115)+2),"")))</f>
        <v/>
      </c>
      <c r="J118" s="121" t="str" cm="1">
        <f t="array" aca="1" ref="J118" ca="1">IF(OR(Formulas!K116=0,Formulas!K116=""),"",HYPERLINK("["&amp;Archivo_Nombre&amp;"]Datos!"&amp;LEFT(SUBSTITUTE(ADDRESS(1,Formulas!K116+2),"$",""))&amp;Formulas!J116+1,
IFERROR(INDEX(Datos!$A$2:$K$102,Formulas!J116,Formulas!K116+2),"")))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21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IFERROR(INDEX(Datos!$A$2:$K$102,Formulas!N115,RIGHT(Formulas!P115)+2),"")))</f>
        <v/>
      </c>
      <c r="O118" s="121" t="str" cm="1">
        <f t="array" aca="1" ref="O118" ca="1">IF(OR(Formulas!P116=0,Formulas!P116=""),"",HYPERLINK("["&amp;Archivo_Nombre&amp;"]Datos!"&amp;LEFT(SUBSTITUTE(ADDRESS(1,Formulas!P116+2),"$",""))&amp;Formulas!O116+1,
IFERROR(INDEX(Datos!$A$2:$K$102,Formulas!O116,Formulas!P116+2),"")))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21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IFERROR(INDEX(Datos!$A$2:$K$102,Formulas!S115,RIGHT(Formulas!U115)+2),"")))</f>
        <v>45849</v>
      </c>
      <c r="T118" s="121" t="e" cm="1">
        <f t="array" aca="1" ref="T118" ca="1">IF(OR(Formulas!U116=0,Formulas!U116=""),"",HYPERLINK("["&amp;Archivo_Nombre&amp;"]Datos!"&amp;LEFT(SUBSTITUTE(ADDRESS(1,Formulas!U116+2),"$",""))&amp;Formulas!T116+1,
IFERROR(INDEX(Datos!$A$2:$K$102,Formulas!T116,Formulas!U116+2),"")))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21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IFERROR(INDEX(Datos!$A$2:$K$102,Formulas!X115,RIGHT(Formulas!Z115)+2),"")))</f>
        <v/>
      </c>
      <c r="Y118" s="121" t="str" cm="1">
        <f t="array" aca="1" ref="Y118" ca="1">IF(OR(Formulas!Z116=0,Formulas!Z116=""),"",HYPERLINK("["&amp;Archivo_Nombre&amp;"]Datos!"&amp;LEFT(SUBSTITUTE(ADDRESS(1,Formulas!Z116+2),"$",""))&amp;Formulas!Y116+1,
IFERROR(INDEX(Datos!$A$2:$K$102,Formulas!Y116,Formulas!Z116+2),"")))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21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IFERROR(INDEX(Datos!$A$2:$K$102,Formulas!AC115,RIGHT(Formulas!AE115)+2),"")))</f>
        <v/>
      </c>
      <c r="AD118" s="121" t="str" cm="1">
        <f t="array" aca="1" ref="AD118" ca="1">IF(OR(Formulas!AE116=0,Formulas!AE116=""),"",HYPERLINK("["&amp;Archivo_Nombre&amp;"]Datos!"&amp;LEFT(SUBSTITUTE(ADDRESS(1,Formulas!AE116+2),"$",""))&amp;Formulas!AD116+1,
IFERROR(INDEX(Datos!$A$2:$K$102,Formulas!AD116,Formulas!AE116+2),"")))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21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IFERROR(INDEX(Datos!$A$2:$K$102,Formulas!AH115,RIGHT(Formulas!AJ115)+2),"")))</f>
        <v/>
      </c>
      <c r="AI118" s="121" t="str" cm="1">
        <f t="array" aca="1" ref="AI118" ca="1">IF(OR(Formulas!AJ116=0,Formulas!AJ116=""),"",HYPERLINK("["&amp;Archivo_Nombre&amp;"]Datos!"&amp;LEFT(SUBSTITUTE(ADDRESS(1,Formulas!AJ116+2),"$",""))&amp;Formulas!AI116+1,
IFERROR(INDEX(Datos!$A$2:$K$102,Formulas!AI116,Formulas!AJ116+2),"")))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21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IFERROR(INDEX(Datos!$A$2:$K$102,Formulas!AM115,RIGHT(Formulas!AO115)+2),"")))</f>
        <v/>
      </c>
      <c r="AN118" s="121" t="str" cm="1">
        <f t="array" aca="1" ref="AN118" ca="1">IF(OR(Formulas!AO116=0,Formulas!AO116=""),"",HYPERLINK("["&amp;Archivo_Nombre&amp;"]Datos!"&amp;LEFT(SUBSTITUTE(ADDRESS(1,Formulas!AO116+2),"$",""))&amp;Formulas!AN116+1,
IFERROR(INDEX(Datos!$A$2:$K$102,Formulas!AN116,Formulas!AO116+2),"")))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21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IFERROR(INDEX(Datos!$A$2:$K$102,Formulas!AR115,RIGHT(Formulas!AT115)+2),"")))</f>
        <v/>
      </c>
      <c r="AS118" s="121" t="str" cm="1">
        <f t="array" aca="1" ref="AS118" ca="1">IF(OR(Formulas!AT116=0,Formulas!AT116=""),"",HYPERLINK("["&amp;Archivo_Nombre&amp;"]Datos!"&amp;LEFT(SUBSTITUTE(ADDRESS(1,Formulas!AT116+2),"$",""))&amp;Formulas!AS116+1,
IFERROR(INDEX(Datos!$A$2:$K$102,Formulas!AS116,Formulas!AT116+2),"")))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21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IFERROR(INDEX(Datos!$A$2:$K$102,Formulas!AW115,RIGHT(Formulas!AY115)+2),"")))</f>
        <v/>
      </c>
      <c r="AX118" s="121" t="str" cm="1">
        <f t="array" aca="1" ref="AX118" ca="1">IF(OR(Formulas!AY116=0,Formulas!AY116=""),"",HYPERLINK("["&amp;Archivo_Nombre&amp;"]Datos!"&amp;LEFT(SUBSTITUTE(ADDRESS(1,Formulas!AY116+2),"$",""))&amp;Formulas!AX116+1,
IFERROR(INDEX(Datos!$A$2:$K$102,Formulas!AX116,Formulas!AY116+2),"")))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21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IFERROR(INDEX(Datos!$A$2:$K$102,Formulas!D116,RIGHT(Formulas!F116)+2),"")))</f>
        <v/>
      </c>
      <c r="E119" s="121" t="str" cm="1">
        <f t="array" aca="1" ref="E119" ca="1">IF(OR(Formulas!F117=0,Formulas!F117=""),"",HYPERLINK("["&amp;Archivo_Nombre&amp;"]Datos!"&amp;LEFT(SUBSTITUTE(ADDRESS(1,Formulas!F117+2),"$",""))&amp;Formulas!E117+1,
IFERROR(INDEX(Datos!$A$2:$K$102,Formulas!E117,Formulas!F117+2),"")))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21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IFERROR(INDEX(Datos!$A$2:$K$102,Formulas!I116,RIGHT(Formulas!K116)+2),"")))</f>
        <v/>
      </c>
      <c r="J119" s="121" t="str" cm="1">
        <f t="array" aca="1" ref="J119" ca="1">IF(OR(Formulas!K117=0,Formulas!K117=""),"",HYPERLINK("["&amp;Archivo_Nombre&amp;"]Datos!"&amp;LEFT(SUBSTITUTE(ADDRESS(1,Formulas!K117+2),"$",""))&amp;Formulas!J117+1,
IFERROR(INDEX(Datos!$A$2:$K$102,Formulas!J117,Formulas!K117+2),"")))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21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IFERROR(INDEX(Datos!$A$2:$K$102,Formulas!N116,RIGHT(Formulas!P116)+2),"")))</f>
        <v/>
      </c>
      <c r="O119" s="121" t="str" cm="1">
        <f t="array" aca="1" ref="O119" ca="1">IF(OR(Formulas!P117=0,Formulas!P117=""),"",HYPERLINK("["&amp;Archivo_Nombre&amp;"]Datos!"&amp;LEFT(SUBSTITUTE(ADDRESS(1,Formulas!P117+2),"$",""))&amp;Formulas!O117+1,
IFERROR(INDEX(Datos!$A$2:$K$102,Formulas!O117,Formulas!P117+2),"")))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21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IFERROR(INDEX(Datos!$A$2:$K$102,Formulas!S116,RIGHT(Formulas!U116)+2),"")))</f>
        <v>3 días</v>
      </c>
      <c r="T119" s="121" t="e" cm="1">
        <f t="array" aca="1" ref="T119" ca="1">IF(OR(Formulas!U117=0,Formulas!U117=""),"",HYPERLINK("["&amp;Archivo_Nombre&amp;"]Datos!"&amp;LEFT(SUBSTITUTE(ADDRESS(1,Formulas!U117+2),"$",""))&amp;Formulas!T117+1,
IFERROR(INDEX(Datos!$A$2:$K$102,Formulas!T117,Formulas!U117+2),"")))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21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IFERROR(INDEX(Datos!$A$2:$K$102,Formulas!X116,RIGHT(Formulas!Z116)+2),"")))</f>
        <v/>
      </c>
      <c r="Y119" s="121" t="str" cm="1">
        <f t="array" aca="1" ref="Y119" ca="1">IF(OR(Formulas!Z117=0,Formulas!Z117=""),"",HYPERLINK("["&amp;Archivo_Nombre&amp;"]Datos!"&amp;LEFT(SUBSTITUTE(ADDRESS(1,Formulas!Z117+2),"$",""))&amp;Formulas!Y117+1,
IFERROR(INDEX(Datos!$A$2:$K$102,Formulas!Y117,Formulas!Z117+2),"")))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21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IFERROR(INDEX(Datos!$A$2:$K$102,Formulas!AC116,RIGHT(Formulas!AE116)+2),"")))</f>
        <v/>
      </c>
      <c r="AD119" s="121" t="str" cm="1">
        <f t="array" aca="1" ref="AD119" ca="1">IF(OR(Formulas!AE117=0,Formulas!AE117=""),"",HYPERLINK("["&amp;Archivo_Nombre&amp;"]Datos!"&amp;LEFT(SUBSTITUTE(ADDRESS(1,Formulas!AE117+2),"$",""))&amp;Formulas!AD117+1,
IFERROR(INDEX(Datos!$A$2:$K$102,Formulas!AD117,Formulas!AE117+2),"")))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21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IFERROR(INDEX(Datos!$A$2:$K$102,Formulas!AH116,RIGHT(Formulas!AJ116)+2),"")))</f>
        <v/>
      </c>
      <c r="AI119" s="121" t="str" cm="1">
        <f t="array" aca="1" ref="AI119" ca="1">IF(OR(Formulas!AJ117=0,Formulas!AJ117=""),"",HYPERLINK("["&amp;Archivo_Nombre&amp;"]Datos!"&amp;LEFT(SUBSTITUTE(ADDRESS(1,Formulas!AJ117+2),"$",""))&amp;Formulas!AI117+1,
IFERROR(INDEX(Datos!$A$2:$K$102,Formulas!AI117,Formulas!AJ117+2),"")))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21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IFERROR(INDEX(Datos!$A$2:$K$102,Formulas!AM116,RIGHT(Formulas!AO116)+2),"")))</f>
        <v/>
      </c>
      <c r="AN119" s="121" t="str" cm="1">
        <f t="array" aca="1" ref="AN119" ca="1">IF(OR(Formulas!AO117=0,Formulas!AO117=""),"",HYPERLINK("["&amp;Archivo_Nombre&amp;"]Datos!"&amp;LEFT(SUBSTITUTE(ADDRESS(1,Formulas!AO117+2),"$",""))&amp;Formulas!AN117+1,
IFERROR(INDEX(Datos!$A$2:$K$102,Formulas!AN117,Formulas!AO117+2),"")))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21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IFERROR(INDEX(Datos!$A$2:$K$102,Formulas!AR116,RIGHT(Formulas!AT116)+2),"")))</f>
        <v/>
      </c>
      <c r="AS119" s="121" t="str" cm="1">
        <f t="array" aca="1" ref="AS119" ca="1">IF(OR(Formulas!AT117=0,Formulas!AT117=""),"",HYPERLINK("["&amp;Archivo_Nombre&amp;"]Datos!"&amp;LEFT(SUBSTITUTE(ADDRESS(1,Formulas!AT117+2),"$",""))&amp;Formulas!AS117+1,
IFERROR(INDEX(Datos!$A$2:$K$102,Formulas!AS117,Formulas!AT117+2),"")))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21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IFERROR(INDEX(Datos!$A$2:$K$102,Formulas!AW116,RIGHT(Formulas!AY116)+2),"")))</f>
        <v/>
      </c>
      <c r="AX119" s="121" t="str" cm="1">
        <f t="array" aca="1" ref="AX119" ca="1">IF(OR(Formulas!AY117=0,Formulas!AY117=""),"",HYPERLINK("["&amp;Archivo_Nombre&amp;"]Datos!"&amp;LEFT(SUBSTITUTE(ADDRESS(1,Formulas!AY117+2),"$",""))&amp;Formulas!AX117+1,
IFERROR(INDEX(Datos!$A$2:$K$102,Formulas!AX117,Formulas!AY117+2),"")))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21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IFERROR(INDEX(Datos!$A$2:$K$102,Formulas!D117,RIGHT(Formulas!F117)+2),"")))</f>
        <v/>
      </c>
      <c r="E120" s="121" t="str" cm="1">
        <f t="array" aca="1" ref="E120" ca="1">IF(OR(Formulas!F118=0,Formulas!F118=""),"",HYPERLINK("["&amp;Archivo_Nombre&amp;"]Datos!"&amp;LEFT(SUBSTITUTE(ADDRESS(1,Formulas!F118+2),"$",""))&amp;Formulas!E118+1,
IFERROR(INDEX(Datos!$A$2:$K$102,Formulas!E118,Formulas!F118+2),"")))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21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IFERROR(INDEX(Datos!$A$2:$K$102,Formulas!I117,RIGHT(Formulas!K117)+2),"")))</f>
        <v/>
      </c>
      <c r="J120" s="121" t="str" cm="1">
        <f t="array" aca="1" ref="J120" ca="1">IF(OR(Formulas!K118=0,Formulas!K118=""),"",HYPERLINK("["&amp;Archivo_Nombre&amp;"]Datos!"&amp;LEFT(SUBSTITUTE(ADDRESS(1,Formulas!K118+2),"$",""))&amp;Formulas!J118+1,
IFERROR(INDEX(Datos!$A$2:$K$102,Formulas!J118,Formulas!K118+2),"")))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21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IFERROR(INDEX(Datos!$A$2:$K$102,Formulas!N117,RIGHT(Formulas!P117)+2),"")))</f>
        <v/>
      </c>
      <c r="O120" s="121" t="str" cm="1">
        <f t="array" aca="1" ref="O120" ca="1">IF(OR(Formulas!P118=0,Formulas!P118=""),"",HYPERLINK("["&amp;Archivo_Nombre&amp;"]Datos!"&amp;LEFT(SUBSTITUTE(ADDRESS(1,Formulas!P118+2),"$",""))&amp;Formulas!O118+1,
IFERROR(INDEX(Datos!$A$2:$K$102,Formulas!O118,Formulas!P118+2),"")))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21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IFERROR(INDEX(Datos!$A$2:$K$102,Formulas!S117,RIGHT(Formulas!U117)+2),"")))</f>
        <v>0 días</v>
      </c>
      <c r="T120" s="121" t="e" cm="1">
        <f t="array" aca="1" ref="T120" ca="1">IF(OR(Formulas!U118=0,Formulas!U118=""),"",HYPERLINK("["&amp;Archivo_Nombre&amp;"]Datos!"&amp;LEFT(SUBSTITUTE(ADDRESS(1,Formulas!U118+2),"$",""))&amp;Formulas!T118+1,
IFERROR(INDEX(Datos!$A$2:$K$102,Formulas!T118,Formulas!U118+2),"")))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21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IFERROR(INDEX(Datos!$A$2:$K$102,Formulas!X117,RIGHT(Formulas!Z117)+2),"")))</f>
        <v/>
      </c>
      <c r="Y120" s="121" t="str" cm="1">
        <f t="array" aca="1" ref="Y120" ca="1">IF(OR(Formulas!Z118=0,Formulas!Z118=""),"",HYPERLINK("["&amp;Archivo_Nombre&amp;"]Datos!"&amp;LEFT(SUBSTITUTE(ADDRESS(1,Formulas!Z118+2),"$",""))&amp;Formulas!Y118+1,
IFERROR(INDEX(Datos!$A$2:$K$102,Formulas!Y118,Formulas!Z118+2),"")))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21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IFERROR(INDEX(Datos!$A$2:$K$102,Formulas!AC117,RIGHT(Formulas!AE117)+2),"")))</f>
        <v/>
      </c>
      <c r="AD120" s="121" t="str" cm="1">
        <f t="array" aca="1" ref="AD120" ca="1">IF(OR(Formulas!AE118=0,Formulas!AE118=""),"",HYPERLINK("["&amp;Archivo_Nombre&amp;"]Datos!"&amp;LEFT(SUBSTITUTE(ADDRESS(1,Formulas!AE118+2),"$",""))&amp;Formulas!AD118+1,
IFERROR(INDEX(Datos!$A$2:$K$102,Formulas!AD118,Formulas!AE118+2),"")))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21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IFERROR(INDEX(Datos!$A$2:$K$102,Formulas!AH117,RIGHT(Formulas!AJ117)+2),"")))</f>
        <v/>
      </c>
      <c r="AI120" s="121" t="str" cm="1">
        <f t="array" aca="1" ref="AI120" ca="1">IF(OR(Formulas!AJ118=0,Formulas!AJ118=""),"",HYPERLINK("["&amp;Archivo_Nombre&amp;"]Datos!"&amp;LEFT(SUBSTITUTE(ADDRESS(1,Formulas!AJ118+2),"$",""))&amp;Formulas!AI118+1,
IFERROR(INDEX(Datos!$A$2:$K$102,Formulas!AI118,Formulas!AJ118+2),"")))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21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IFERROR(INDEX(Datos!$A$2:$K$102,Formulas!AM117,RIGHT(Formulas!AO117)+2),"")))</f>
        <v/>
      </c>
      <c r="AN120" s="121" t="str" cm="1">
        <f t="array" aca="1" ref="AN120" ca="1">IF(OR(Formulas!AO118=0,Formulas!AO118=""),"",HYPERLINK("["&amp;Archivo_Nombre&amp;"]Datos!"&amp;LEFT(SUBSTITUTE(ADDRESS(1,Formulas!AO118+2),"$",""))&amp;Formulas!AN118+1,
IFERROR(INDEX(Datos!$A$2:$K$102,Formulas!AN118,Formulas!AO118+2),"")))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21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IFERROR(INDEX(Datos!$A$2:$K$102,Formulas!AR117,RIGHT(Formulas!AT117)+2),"")))</f>
        <v/>
      </c>
      <c r="AS120" s="121" t="str" cm="1">
        <f t="array" aca="1" ref="AS120" ca="1">IF(OR(Formulas!AT118=0,Formulas!AT118=""),"",HYPERLINK("["&amp;Archivo_Nombre&amp;"]Datos!"&amp;LEFT(SUBSTITUTE(ADDRESS(1,Formulas!AT118+2),"$",""))&amp;Formulas!AS118+1,
IFERROR(INDEX(Datos!$A$2:$K$102,Formulas!AS118,Formulas!AT118+2),"")))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21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IFERROR(INDEX(Datos!$A$2:$K$102,Formulas!AW117,RIGHT(Formulas!AY117)+2),"")))</f>
        <v/>
      </c>
      <c r="AX120" s="121" t="str" cm="1">
        <f t="array" aca="1" ref="AX120" ca="1">IF(OR(Formulas!AY118=0,Formulas!AY118=""),"",HYPERLINK("["&amp;Archivo_Nombre&amp;"]Datos!"&amp;LEFT(SUBSTITUTE(ADDRESS(1,Formulas!AY118+2),"$",""))&amp;Formulas!AX118+1,
IFERROR(INDEX(Datos!$A$2:$K$102,Formulas!AX118,Formulas!AY118+2),"")))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21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IFERROR(INDEX(Datos!$A$2:$K$102,Formulas!D118,RIGHT(Formulas!F118)+2),"")))</f>
        <v/>
      </c>
      <c r="E121" s="121" t="str" cm="1">
        <f t="array" aca="1" ref="E121" ca="1">IF(OR(Formulas!F119=0,Formulas!F119=""),"",HYPERLINK("["&amp;Archivo_Nombre&amp;"]Datos!"&amp;LEFT(SUBSTITUTE(ADDRESS(1,Formulas!F119+2),"$",""))&amp;Formulas!E119+1,
IFERROR(INDEX(Datos!$A$2:$K$102,Formulas!E119,Formulas!F119+2),"")))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21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IFERROR(INDEX(Datos!$A$2:$K$102,Formulas!I118,RIGHT(Formulas!K118)+2),"")))</f>
        <v/>
      </c>
      <c r="J121" s="121" t="str" cm="1">
        <f t="array" aca="1" ref="J121" ca="1">IF(OR(Formulas!K119=0,Formulas!K119=""),"",HYPERLINK("["&amp;Archivo_Nombre&amp;"]Datos!"&amp;LEFT(SUBSTITUTE(ADDRESS(1,Formulas!K119+2),"$",""))&amp;Formulas!J119+1,
IFERROR(INDEX(Datos!$A$2:$K$102,Formulas!J119,Formulas!K119+2),"")))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21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IFERROR(INDEX(Datos!$A$2:$K$102,Formulas!N118,RIGHT(Formulas!P118)+2),"")))</f>
        <v/>
      </c>
      <c r="O121" s="121" t="str" cm="1">
        <f t="array" aca="1" ref="O121" ca="1">IF(OR(Formulas!P119=0,Formulas!P119=""),"",HYPERLINK("["&amp;Archivo_Nombre&amp;"]Datos!"&amp;LEFT(SUBSTITUTE(ADDRESS(1,Formulas!P119+2),"$",""))&amp;Formulas!O119+1,
IFERROR(INDEX(Datos!$A$2:$K$102,Formulas!O119,Formulas!P119+2),"")))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21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IFERROR(INDEX(Datos!$A$2:$K$102,Formulas!S118,RIGHT(Formulas!U118)+2),"")))</f>
        <v>Luis Calle</v>
      </c>
      <c r="T121" s="121" t="str" cm="1">
        <f t="array" aca="1" ref="T121" ca="1">IF(OR(Formulas!U119=0,Formulas!U119=""),"",HYPERLINK("["&amp;Archivo_Nombre&amp;"]Datos!"&amp;LEFT(SUBSTITUTE(ADDRESS(1,Formulas!U119+2),"$",""))&amp;Formulas!T119+1,
IFERROR(INDEX(Datos!$A$2:$K$102,Formulas!T119,Formulas!U119+2),"")))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21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IFERROR(INDEX(Datos!$A$2:$K$102,Formulas!X118,RIGHT(Formulas!Z118)+2),"")))</f>
        <v/>
      </c>
      <c r="Y121" s="121" t="str" cm="1">
        <f t="array" aca="1" ref="Y121" ca="1">IF(OR(Formulas!Z119=0,Formulas!Z119=""),"",HYPERLINK("["&amp;Archivo_Nombre&amp;"]Datos!"&amp;LEFT(SUBSTITUTE(ADDRESS(1,Formulas!Z119+2),"$",""))&amp;Formulas!Y119+1,
IFERROR(INDEX(Datos!$A$2:$K$102,Formulas!Y119,Formulas!Z119+2),"")))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21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IFERROR(INDEX(Datos!$A$2:$K$102,Formulas!AC118,RIGHT(Formulas!AE118)+2),"")))</f>
        <v/>
      </c>
      <c r="AD121" s="121" t="str" cm="1">
        <f t="array" aca="1" ref="AD121" ca="1">IF(OR(Formulas!AE119=0,Formulas!AE119=""),"",HYPERLINK("["&amp;Archivo_Nombre&amp;"]Datos!"&amp;LEFT(SUBSTITUTE(ADDRESS(1,Formulas!AE119+2),"$",""))&amp;Formulas!AD119+1,
IFERROR(INDEX(Datos!$A$2:$K$102,Formulas!AD119,Formulas!AE119+2),"")))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21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IFERROR(INDEX(Datos!$A$2:$K$102,Formulas!AH118,RIGHT(Formulas!AJ118)+2),"")))</f>
        <v/>
      </c>
      <c r="AI121" s="121" t="str" cm="1">
        <f t="array" aca="1" ref="AI121" ca="1">IF(OR(Formulas!AJ119=0,Formulas!AJ119=""),"",HYPERLINK("["&amp;Archivo_Nombre&amp;"]Datos!"&amp;LEFT(SUBSTITUTE(ADDRESS(1,Formulas!AJ119+2),"$",""))&amp;Formulas!AI119+1,
IFERROR(INDEX(Datos!$A$2:$K$102,Formulas!AI119,Formulas!AJ119+2),"")))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21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IFERROR(INDEX(Datos!$A$2:$K$102,Formulas!AM118,RIGHT(Formulas!AO118)+2),"")))</f>
        <v/>
      </c>
      <c r="AN121" s="121" t="str" cm="1">
        <f t="array" aca="1" ref="AN121" ca="1">IF(OR(Formulas!AO119=0,Formulas!AO119=""),"",HYPERLINK("["&amp;Archivo_Nombre&amp;"]Datos!"&amp;LEFT(SUBSTITUTE(ADDRESS(1,Formulas!AO119+2),"$",""))&amp;Formulas!AN119+1,
IFERROR(INDEX(Datos!$A$2:$K$102,Formulas!AN119,Formulas!AO119+2),"")))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21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IFERROR(INDEX(Datos!$A$2:$K$102,Formulas!AR118,RIGHT(Formulas!AT118)+2),"")))</f>
        <v/>
      </c>
      <c r="AS121" s="121" t="str" cm="1">
        <f t="array" aca="1" ref="AS121" ca="1">IF(OR(Formulas!AT119=0,Formulas!AT119=""),"",HYPERLINK("["&amp;Archivo_Nombre&amp;"]Datos!"&amp;LEFT(SUBSTITUTE(ADDRESS(1,Formulas!AT119+2),"$",""))&amp;Formulas!AS119+1,
IFERROR(INDEX(Datos!$A$2:$K$102,Formulas!AS119,Formulas!AT119+2),"")))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21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IFERROR(INDEX(Datos!$A$2:$K$102,Formulas!AW118,RIGHT(Formulas!AY118)+2),"")))</f>
        <v/>
      </c>
      <c r="AX121" s="121" t="str" cm="1">
        <f t="array" aca="1" ref="AX121" ca="1">IF(OR(Formulas!AY119=0,Formulas!AY119=""),"",HYPERLINK("["&amp;Archivo_Nombre&amp;"]Datos!"&amp;LEFT(SUBSTITUTE(ADDRESS(1,Formulas!AY119+2),"$",""))&amp;Formulas!AX119+1,
IFERROR(INDEX(Datos!$A$2:$K$102,Formulas!AX119,Formulas!AY119+2),"")))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21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IFERROR(INDEX(Datos!$A$2:$K$102,Formulas!D119,RIGHT(Formulas!F119)+2),"")))</f>
        <v/>
      </c>
      <c r="E122" s="121" t="str" cm="1">
        <f t="array" aca="1" ref="E122" ca="1">IF(OR(Formulas!F120=0,Formulas!F120=""),"",HYPERLINK("["&amp;Archivo_Nombre&amp;"]Datos!"&amp;LEFT(SUBSTITUTE(ADDRESS(1,Formulas!F120+2),"$",""))&amp;Formulas!E120+1,
IFERROR(INDEX(Datos!$A$2:$K$102,Formulas!E120,Formulas!F120+2),"")))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21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IFERROR(INDEX(Datos!$A$2:$K$102,Formulas!I119,RIGHT(Formulas!K119)+2),"")))</f>
        <v/>
      </c>
      <c r="J122" s="121" t="str" cm="1">
        <f t="array" aca="1" ref="J122" ca="1">IF(OR(Formulas!K120=0,Formulas!K120=""),"",HYPERLINK("["&amp;Archivo_Nombre&amp;"]Datos!"&amp;LEFT(SUBSTITUTE(ADDRESS(1,Formulas!K120+2),"$",""))&amp;Formulas!J120+1,
IFERROR(INDEX(Datos!$A$2:$K$102,Formulas!J120,Formulas!K120+2),"")))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21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IFERROR(INDEX(Datos!$A$2:$K$102,Formulas!N119,RIGHT(Formulas!P119)+2),"")))</f>
        <v/>
      </c>
      <c r="O122" s="121" t="str" cm="1">
        <f t="array" aca="1" ref="O122" ca="1">IF(OR(Formulas!P120=0,Formulas!P120=""),"",HYPERLINK("["&amp;Archivo_Nombre&amp;"]Datos!"&amp;LEFT(SUBSTITUTE(ADDRESS(1,Formulas!P120+2),"$",""))&amp;Formulas!O120+1,
IFERROR(INDEX(Datos!$A$2:$K$102,Formulas!O120,Formulas!P120+2),"")))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21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IFERROR(INDEX(Datos!$A$2:$K$102,Formulas!S119,RIGHT(Formulas!U119)+2),"")))</f>
        <v/>
      </c>
      <c r="T122" s="121" t="e" cm="1">
        <f t="array" aca="1" ref="T122" ca="1">IF(OR(Formulas!U120=0,Formulas!U120=""),"",HYPERLINK("["&amp;Archivo_Nombre&amp;"]Datos!"&amp;LEFT(SUBSTITUTE(ADDRESS(1,Formulas!U120+2),"$",""))&amp;Formulas!T120+1,
IFERROR(INDEX(Datos!$A$2:$K$102,Formulas!T120,Formulas!U120+2),"")))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21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IFERROR(INDEX(Datos!$A$2:$K$102,Formulas!X119,RIGHT(Formulas!Z119)+2),"")))</f>
        <v/>
      </c>
      <c r="Y122" s="121" t="str" cm="1">
        <f t="array" aca="1" ref="Y122" ca="1">IF(OR(Formulas!Z120=0,Formulas!Z120=""),"",HYPERLINK("["&amp;Archivo_Nombre&amp;"]Datos!"&amp;LEFT(SUBSTITUTE(ADDRESS(1,Formulas!Z120+2),"$",""))&amp;Formulas!Y120+1,
IFERROR(INDEX(Datos!$A$2:$K$102,Formulas!Y120,Formulas!Z120+2),"")))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21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IFERROR(INDEX(Datos!$A$2:$K$102,Formulas!AC119,RIGHT(Formulas!AE119)+2),"")))</f>
        <v/>
      </c>
      <c r="AD122" s="121" t="str" cm="1">
        <f t="array" aca="1" ref="AD122" ca="1">IF(OR(Formulas!AE120=0,Formulas!AE120=""),"",HYPERLINK("["&amp;Archivo_Nombre&amp;"]Datos!"&amp;LEFT(SUBSTITUTE(ADDRESS(1,Formulas!AE120+2),"$",""))&amp;Formulas!AD120+1,
IFERROR(INDEX(Datos!$A$2:$K$102,Formulas!AD120,Formulas!AE120+2),"")))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21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IFERROR(INDEX(Datos!$A$2:$K$102,Formulas!AH119,RIGHT(Formulas!AJ119)+2),"")))</f>
        <v/>
      </c>
      <c r="AI122" s="121" t="str" cm="1">
        <f t="array" aca="1" ref="AI122" ca="1">IF(OR(Formulas!AJ120=0,Formulas!AJ120=""),"",HYPERLINK("["&amp;Archivo_Nombre&amp;"]Datos!"&amp;LEFT(SUBSTITUTE(ADDRESS(1,Formulas!AJ120+2),"$",""))&amp;Formulas!AI120+1,
IFERROR(INDEX(Datos!$A$2:$K$102,Formulas!AI120,Formulas!AJ120+2),"")))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21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IFERROR(INDEX(Datos!$A$2:$K$102,Formulas!AM119,RIGHT(Formulas!AO119)+2),"")))</f>
        <v/>
      </c>
      <c r="AN122" s="121" t="str" cm="1">
        <f t="array" aca="1" ref="AN122" ca="1">IF(OR(Formulas!AO120=0,Formulas!AO120=""),"",HYPERLINK("["&amp;Archivo_Nombre&amp;"]Datos!"&amp;LEFT(SUBSTITUTE(ADDRESS(1,Formulas!AO120+2),"$",""))&amp;Formulas!AN120+1,
IFERROR(INDEX(Datos!$A$2:$K$102,Formulas!AN120,Formulas!AO120+2),"")))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21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IFERROR(INDEX(Datos!$A$2:$K$102,Formulas!AR119,RIGHT(Formulas!AT119)+2),"")))</f>
        <v/>
      </c>
      <c r="AS122" s="121" t="str" cm="1">
        <f t="array" aca="1" ref="AS122" ca="1">IF(OR(Formulas!AT120=0,Formulas!AT120=""),"",HYPERLINK("["&amp;Archivo_Nombre&amp;"]Datos!"&amp;LEFT(SUBSTITUTE(ADDRESS(1,Formulas!AT120+2),"$",""))&amp;Formulas!AS120+1,
IFERROR(INDEX(Datos!$A$2:$K$102,Formulas!AS120,Formulas!AT120+2),"")))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21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IFERROR(INDEX(Datos!$A$2:$K$102,Formulas!AW119,RIGHT(Formulas!AY119)+2),"")))</f>
        <v/>
      </c>
      <c r="AX122" s="121" t="str" cm="1">
        <f t="array" aca="1" ref="AX122" ca="1">IF(OR(Formulas!AY120=0,Formulas!AY120=""),"",HYPERLINK("["&amp;Archivo_Nombre&amp;"]Datos!"&amp;LEFT(SUBSTITUTE(ADDRESS(1,Formulas!AY120+2),"$",""))&amp;Formulas!AX120+1,
IFERROR(INDEX(Datos!$A$2:$K$102,Formulas!AX120,Formulas!AY120+2),"")))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21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IFERROR(INDEX(Datos!$A$2:$K$102,Formulas!D120,RIGHT(Formulas!F120)+2),"")))</f>
        <v/>
      </c>
      <c r="E123" s="121" t="str" cm="1">
        <f t="array" aca="1" ref="E123" ca="1">IF(OR(Formulas!F121=0,Formulas!F121=""),"",HYPERLINK("["&amp;Archivo_Nombre&amp;"]Datos!"&amp;LEFT(SUBSTITUTE(ADDRESS(1,Formulas!F121+2),"$",""))&amp;Formulas!E121+1,
IFERROR(INDEX(Datos!$A$2:$K$102,Formulas!E121,Formulas!F121+2),"")))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21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IFERROR(INDEX(Datos!$A$2:$K$102,Formulas!I120,RIGHT(Formulas!K120)+2),"")))</f>
        <v/>
      </c>
      <c r="J123" s="121" t="str" cm="1">
        <f t="array" aca="1" ref="J123" ca="1">IF(OR(Formulas!K121=0,Formulas!K121=""),"",HYPERLINK("["&amp;Archivo_Nombre&amp;"]Datos!"&amp;LEFT(SUBSTITUTE(ADDRESS(1,Formulas!K121+2),"$",""))&amp;Formulas!J121+1,
IFERROR(INDEX(Datos!$A$2:$K$102,Formulas!J121,Formulas!K121+2),"")))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21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IFERROR(INDEX(Datos!$A$2:$K$102,Formulas!N120,RIGHT(Formulas!P120)+2),"")))</f>
        <v/>
      </c>
      <c r="O123" s="121" t="str" cm="1">
        <f t="array" aca="1" ref="O123" ca="1">IF(OR(Formulas!P121=0,Formulas!P121=""),"",HYPERLINK("["&amp;Archivo_Nombre&amp;"]Datos!"&amp;LEFT(SUBSTITUTE(ADDRESS(1,Formulas!P121+2),"$",""))&amp;Formulas!O121+1,
IFERROR(INDEX(Datos!$A$2:$K$102,Formulas!O121,Formulas!P121+2),"")))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45:</v>
      </c>
      <c r="S123" s="121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IFERROR(INDEX(Datos!$A$2:$K$102,Formulas!S120,RIGHT(Formulas!U120)+2),"")))</f>
        <v>REQ005-2 Diseñar e implementar la barra de búsqueda con campos: para Laboral cédula y para Civil RUC.</v>
      </c>
      <c r="T123" s="121" t="e" cm="1">
        <f t="array" aca="1" ref="T123" ca="1">IF(OR(Formulas!U121=0,Formulas!U121=""),"",HYPERLINK("["&amp;Archivo_Nombre&amp;"]Datos!"&amp;LEFT(SUBSTITUTE(ADDRESS(1,Formulas!U121+2),"$",""))&amp;Formulas!T121+1,
IFERROR(INDEX(Datos!$A$2:$K$102,Formulas!T121,Formulas!U121+2),"")))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21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IFERROR(INDEX(Datos!$A$2:$K$102,Formulas!X120,RIGHT(Formulas!Z120)+2),"")))</f>
        <v/>
      </c>
      <c r="Y123" s="121" t="str" cm="1">
        <f t="array" aca="1" ref="Y123" ca="1">IF(OR(Formulas!Z121=0,Formulas!Z121=""),"",HYPERLINK("["&amp;Archivo_Nombre&amp;"]Datos!"&amp;LEFT(SUBSTITUTE(ADDRESS(1,Formulas!Z121+2),"$",""))&amp;Formulas!Y121+1,
IFERROR(INDEX(Datos!$A$2:$K$102,Formulas!Y121,Formulas!Z121+2),"")))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21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IFERROR(INDEX(Datos!$A$2:$K$102,Formulas!AC120,RIGHT(Formulas!AE120)+2),"")))</f>
        <v/>
      </c>
      <c r="AD123" s="121" t="str" cm="1">
        <f t="array" aca="1" ref="AD123" ca="1">IF(OR(Formulas!AE121=0,Formulas!AE121=""),"",HYPERLINK("["&amp;Archivo_Nombre&amp;"]Datos!"&amp;LEFT(SUBSTITUTE(ADDRESS(1,Formulas!AE121+2),"$",""))&amp;Formulas!AD121+1,
IFERROR(INDEX(Datos!$A$2:$K$102,Formulas!AD121,Formulas!AE121+2),"")))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21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IFERROR(INDEX(Datos!$A$2:$K$102,Formulas!AH120,RIGHT(Formulas!AJ120)+2),"")))</f>
        <v/>
      </c>
      <c r="AI123" s="121" t="str" cm="1">
        <f t="array" aca="1" ref="AI123" ca="1">IF(OR(Formulas!AJ121=0,Formulas!AJ121=""),"",HYPERLINK("["&amp;Archivo_Nombre&amp;"]Datos!"&amp;LEFT(SUBSTITUTE(ADDRESS(1,Formulas!AJ121+2),"$",""))&amp;Formulas!AI121+1,
IFERROR(INDEX(Datos!$A$2:$K$102,Formulas!AI121,Formulas!AJ121+2),"")))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21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IFERROR(INDEX(Datos!$A$2:$K$102,Formulas!AM120,RIGHT(Formulas!AO120)+2),"")))</f>
        <v/>
      </c>
      <c r="AN123" s="121" t="str" cm="1">
        <f t="array" aca="1" ref="AN123" ca="1">IF(OR(Formulas!AO121=0,Formulas!AO121=""),"",HYPERLINK("["&amp;Archivo_Nombre&amp;"]Datos!"&amp;LEFT(SUBSTITUTE(ADDRESS(1,Formulas!AO121+2),"$",""))&amp;Formulas!AN121+1,
IFERROR(INDEX(Datos!$A$2:$K$102,Formulas!AN121,Formulas!AO121+2),"")))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21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IFERROR(INDEX(Datos!$A$2:$K$102,Formulas!AR120,RIGHT(Formulas!AT120)+2),"")))</f>
        <v/>
      </c>
      <c r="AS123" s="121" t="str" cm="1">
        <f t="array" aca="1" ref="AS123" ca="1">IF(OR(Formulas!AT121=0,Formulas!AT121=""),"",HYPERLINK("["&amp;Archivo_Nombre&amp;"]Datos!"&amp;LEFT(SUBSTITUTE(ADDRESS(1,Formulas!AT121+2),"$",""))&amp;Formulas!AS121+1,
IFERROR(INDEX(Datos!$A$2:$K$102,Formulas!AS121,Formulas!AT121+2),"")))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21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IFERROR(INDEX(Datos!$A$2:$K$102,Formulas!AW120,RIGHT(Formulas!AY120)+2),"")))</f>
        <v/>
      </c>
      <c r="AX123" s="121" t="str" cm="1">
        <f t="array" aca="1" ref="AX123" ca="1">IF(OR(Formulas!AY121=0,Formulas!AY121=""),"",HYPERLINK("["&amp;Archivo_Nombre&amp;"]Datos!"&amp;LEFT(SUBSTITUTE(ADDRESS(1,Formulas!AY121+2),"$",""))&amp;Formulas!AX121+1,
IFERROR(INDEX(Datos!$A$2:$K$102,Formulas!AX121,Formulas!AY121+2),"")))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21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IFERROR(INDEX(Datos!$A$2:$K$102,Formulas!D121,RIGHT(Formulas!F121)+2),"")))</f>
        <v/>
      </c>
      <c r="E124" s="121" t="str" cm="1">
        <f t="array" aca="1" ref="E124" ca="1">IF(OR(Formulas!F122=0,Formulas!F122=""),"",HYPERLINK("["&amp;Archivo_Nombre&amp;"]Datos!"&amp;LEFT(SUBSTITUTE(ADDRESS(1,Formulas!F122+2),"$",""))&amp;Formulas!E122+1,
IFERROR(INDEX(Datos!$A$2:$K$102,Formulas!E122,Formulas!F122+2),"")))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21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IFERROR(INDEX(Datos!$A$2:$K$102,Formulas!I121,RIGHT(Formulas!K121)+2),"")))</f>
        <v/>
      </c>
      <c r="J124" s="121" t="str" cm="1">
        <f t="array" aca="1" ref="J124" ca="1">IF(OR(Formulas!K122=0,Formulas!K122=""),"",HYPERLINK("["&amp;Archivo_Nombre&amp;"]Datos!"&amp;LEFT(SUBSTITUTE(ADDRESS(1,Formulas!K122+2),"$",""))&amp;Formulas!J122+1,
IFERROR(INDEX(Datos!$A$2:$K$102,Formulas!J122,Formulas!K122+2),"")))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21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IFERROR(INDEX(Datos!$A$2:$K$102,Formulas!N121,RIGHT(Formulas!P121)+2),"")))</f>
        <v/>
      </c>
      <c r="O124" s="121" t="str" cm="1">
        <f t="array" aca="1" ref="O124" ca="1">IF(OR(Formulas!P122=0,Formulas!P122=""),"",HYPERLINK("["&amp;Archivo_Nombre&amp;"]Datos!"&amp;LEFT(SUBSTITUTE(ADDRESS(1,Formulas!P122+2),"$",""))&amp;Formulas!O122+1,
IFERROR(INDEX(Datos!$A$2:$K$102,Formulas!O122,Formulas!P122+2),"")))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21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IFERROR(INDEX(Datos!$A$2:$K$102,Formulas!S121,RIGHT(Formulas!U121)+2),"")))</f>
        <v>Barra de búsqueda según tipo</v>
      </c>
      <c r="T124" s="121" t="e" cm="1">
        <f t="array" aca="1" ref="T124" ca="1">IF(OR(Formulas!U122=0,Formulas!U122=""),"",HYPERLINK("["&amp;Archivo_Nombre&amp;"]Datos!"&amp;LEFT(SUBSTITUTE(ADDRESS(1,Formulas!U122+2),"$",""))&amp;Formulas!T122+1,
IFERROR(INDEX(Datos!$A$2:$K$102,Formulas!T122,Formulas!U122+2),"")))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21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IFERROR(INDEX(Datos!$A$2:$K$102,Formulas!X121,RIGHT(Formulas!Z121)+2),"")))</f>
        <v/>
      </c>
      <c r="Y124" s="121" t="str" cm="1">
        <f t="array" aca="1" ref="Y124" ca="1">IF(OR(Formulas!Z122=0,Formulas!Z122=""),"",HYPERLINK("["&amp;Archivo_Nombre&amp;"]Datos!"&amp;LEFT(SUBSTITUTE(ADDRESS(1,Formulas!Z122+2),"$",""))&amp;Formulas!Y122+1,
IFERROR(INDEX(Datos!$A$2:$K$102,Formulas!Y122,Formulas!Z122+2),"")))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21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IFERROR(INDEX(Datos!$A$2:$K$102,Formulas!AC121,RIGHT(Formulas!AE121)+2),"")))</f>
        <v/>
      </c>
      <c r="AD124" s="121" t="str" cm="1">
        <f t="array" aca="1" ref="AD124" ca="1">IF(OR(Formulas!AE122=0,Formulas!AE122=""),"",HYPERLINK("["&amp;Archivo_Nombre&amp;"]Datos!"&amp;LEFT(SUBSTITUTE(ADDRESS(1,Formulas!AE122+2),"$",""))&amp;Formulas!AD122+1,
IFERROR(INDEX(Datos!$A$2:$K$102,Formulas!AD122,Formulas!AE122+2),"")))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21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IFERROR(INDEX(Datos!$A$2:$K$102,Formulas!AH121,RIGHT(Formulas!AJ121)+2),"")))</f>
        <v/>
      </c>
      <c r="AI124" s="121" t="str" cm="1">
        <f t="array" aca="1" ref="AI124" ca="1">IF(OR(Formulas!AJ122=0,Formulas!AJ122=""),"",HYPERLINK("["&amp;Archivo_Nombre&amp;"]Datos!"&amp;LEFT(SUBSTITUTE(ADDRESS(1,Formulas!AJ122+2),"$",""))&amp;Formulas!AI122+1,
IFERROR(INDEX(Datos!$A$2:$K$102,Formulas!AI122,Formulas!AJ122+2),"")))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21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IFERROR(INDEX(Datos!$A$2:$K$102,Formulas!AM121,RIGHT(Formulas!AO121)+2),"")))</f>
        <v/>
      </c>
      <c r="AN124" s="121" t="str" cm="1">
        <f t="array" aca="1" ref="AN124" ca="1">IF(OR(Formulas!AO122=0,Formulas!AO122=""),"",HYPERLINK("["&amp;Archivo_Nombre&amp;"]Datos!"&amp;LEFT(SUBSTITUTE(ADDRESS(1,Formulas!AO122+2),"$",""))&amp;Formulas!AN122+1,
IFERROR(INDEX(Datos!$A$2:$K$102,Formulas!AN122,Formulas!AO122+2),"")))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21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IFERROR(INDEX(Datos!$A$2:$K$102,Formulas!AR121,RIGHT(Formulas!AT121)+2),"")))</f>
        <v/>
      </c>
      <c r="AS124" s="121" t="str" cm="1">
        <f t="array" aca="1" ref="AS124" ca="1">IF(OR(Formulas!AT122=0,Formulas!AT122=""),"",HYPERLINK("["&amp;Archivo_Nombre&amp;"]Datos!"&amp;LEFT(SUBSTITUTE(ADDRESS(1,Formulas!AT122+2),"$",""))&amp;Formulas!AS122+1,
IFERROR(INDEX(Datos!$A$2:$K$102,Formulas!AS122,Formulas!AT122+2),"")))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21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IFERROR(INDEX(Datos!$A$2:$K$102,Formulas!AW121,RIGHT(Formulas!AY121)+2),"")))</f>
        <v/>
      </c>
      <c r="AX124" s="121" t="str" cm="1">
        <f t="array" aca="1" ref="AX124" ca="1">IF(OR(Formulas!AY122=0,Formulas!AY122=""),"",HYPERLINK("["&amp;Archivo_Nombre&amp;"]Datos!"&amp;LEFT(SUBSTITUTE(ADDRESS(1,Formulas!AY122+2),"$",""))&amp;Formulas!AX122+1,
IFERROR(INDEX(Datos!$A$2:$K$102,Formulas!AX122,Formulas!AY122+2),"")))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21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IFERROR(INDEX(Datos!$A$2:$K$102,Formulas!D122,RIGHT(Formulas!F122)+2),"")))</f>
        <v/>
      </c>
      <c r="E125" s="121" t="str" cm="1">
        <f t="array" aca="1" ref="E125" ca="1">IF(OR(Formulas!F123=0,Formulas!F123=""),"",HYPERLINK("["&amp;Archivo_Nombre&amp;"]Datos!"&amp;LEFT(SUBSTITUTE(ADDRESS(1,Formulas!F123+2),"$",""))&amp;Formulas!E123+1,
IFERROR(INDEX(Datos!$A$2:$K$102,Formulas!E123,Formulas!F123+2),"")))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21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IFERROR(INDEX(Datos!$A$2:$K$102,Formulas!I122,RIGHT(Formulas!K122)+2),"")))</f>
        <v/>
      </c>
      <c r="J125" s="121" t="str" cm="1">
        <f t="array" aca="1" ref="J125" ca="1">IF(OR(Formulas!K123=0,Formulas!K123=""),"",HYPERLINK("["&amp;Archivo_Nombre&amp;"]Datos!"&amp;LEFT(SUBSTITUTE(ADDRESS(1,Formulas!K123+2),"$",""))&amp;Formulas!J123+1,
IFERROR(INDEX(Datos!$A$2:$K$102,Formulas!J123,Formulas!K123+2),"")))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21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IFERROR(INDEX(Datos!$A$2:$K$102,Formulas!N122,RIGHT(Formulas!P122)+2),"")))</f>
        <v/>
      </c>
      <c r="O125" s="121" t="str" cm="1">
        <f t="array" aca="1" ref="O125" ca="1">IF(OR(Formulas!P123=0,Formulas!P123=""),"",HYPERLINK("["&amp;Archivo_Nombre&amp;"]Datos!"&amp;LEFT(SUBSTITUTE(ADDRESS(1,Formulas!P123+2),"$",""))&amp;Formulas!O123+1,
IFERROR(INDEX(Datos!$A$2:$K$102,Formulas!O123,Formulas!P123+2),"")))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21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IFERROR(INDEX(Datos!$A$2:$K$102,Formulas!S122,RIGHT(Formulas!U122)+2),"")))</f>
        <v>45846</v>
      </c>
      <c r="T125" s="121" t="e" cm="1">
        <f t="array" aca="1" ref="T125" ca="1">IF(OR(Formulas!U123=0,Formulas!U123=""),"",HYPERLINK("["&amp;Archivo_Nombre&amp;"]Datos!"&amp;LEFT(SUBSTITUTE(ADDRESS(1,Formulas!U123+2),"$",""))&amp;Formulas!T123+1,
IFERROR(INDEX(Datos!$A$2:$K$102,Formulas!T123,Formulas!U123+2),"")))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21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IFERROR(INDEX(Datos!$A$2:$K$102,Formulas!X122,RIGHT(Formulas!Z122)+2),"")))</f>
        <v/>
      </c>
      <c r="Y125" s="121" t="str" cm="1">
        <f t="array" aca="1" ref="Y125" ca="1">IF(OR(Formulas!Z123=0,Formulas!Z123=""),"",HYPERLINK("["&amp;Archivo_Nombre&amp;"]Datos!"&amp;LEFT(SUBSTITUTE(ADDRESS(1,Formulas!Z123+2),"$",""))&amp;Formulas!Y123+1,
IFERROR(INDEX(Datos!$A$2:$K$102,Formulas!Y123,Formulas!Z123+2),"")))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21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IFERROR(INDEX(Datos!$A$2:$K$102,Formulas!AC122,RIGHT(Formulas!AE122)+2),"")))</f>
        <v/>
      </c>
      <c r="AD125" s="121" t="str" cm="1">
        <f t="array" aca="1" ref="AD125" ca="1">IF(OR(Formulas!AE123=0,Formulas!AE123=""),"",HYPERLINK("["&amp;Archivo_Nombre&amp;"]Datos!"&amp;LEFT(SUBSTITUTE(ADDRESS(1,Formulas!AE123+2),"$",""))&amp;Formulas!AD123+1,
IFERROR(INDEX(Datos!$A$2:$K$102,Formulas!AD123,Formulas!AE123+2),"")))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21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IFERROR(INDEX(Datos!$A$2:$K$102,Formulas!AH122,RIGHT(Formulas!AJ122)+2),"")))</f>
        <v/>
      </c>
      <c r="AI125" s="121" t="str" cm="1">
        <f t="array" aca="1" ref="AI125" ca="1">IF(OR(Formulas!AJ123=0,Formulas!AJ123=""),"",HYPERLINK("["&amp;Archivo_Nombre&amp;"]Datos!"&amp;LEFT(SUBSTITUTE(ADDRESS(1,Formulas!AJ123+2),"$",""))&amp;Formulas!AI123+1,
IFERROR(INDEX(Datos!$A$2:$K$102,Formulas!AI123,Formulas!AJ123+2),"")))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21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IFERROR(INDEX(Datos!$A$2:$K$102,Formulas!AM122,RIGHT(Formulas!AO122)+2),"")))</f>
        <v/>
      </c>
      <c r="AN125" s="121" t="str" cm="1">
        <f t="array" aca="1" ref="AN125" ca="1">IF(OR(Formulas!AO123=0,Formulas!AO123=""),"",HYPERLINK("["&amp;Archivo_Nombre&amp;"]Datos!"&amp;LEFT(SUBSTITUTE(ADDRESS(1,Formulas!AO123+2),"$",""))&amp;Formulas!AN123+1,
IFERROR(INDEX(Datos!$A$2:$K$102,Formulas!AN123,Formulas!AO123+2),"")))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21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IFERROR(INDEX(Datos!$A$2:$K$102,Formulas!AR122,RIGHT(Formulas!AT122)+2),"")))</f>
        <v/>
      </c>
      <c r="AS125" s="121" t="str" cm="1">
        <f t="array" aca="1" ref="AS125" ca="1">IF(OR(Formulas!AT123=0,Formulas!AT123=""),"",HYPERLINK("["&amp;Archivo_Nombre&amp;"]Datos!"&amp;LEFT(SUBSTITUTE(ADDRESS(1,Formulas!AT123+2),"$",""))&amp;Formulas!AS123+1,
IFERROR(INDEX(Datos!$A$2:$K$102,Formulas!AS123,Formulas!AT123+2),"")))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21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IFERROR(INDEX(Datos!$A$2:$K$102,Formulas!AW122,RIGHT(Formulas!AY122)+2),"")))</f>
        <v/>
      </c>
      <c r="AX125" s="121" t="str" cm="1">
        <f t="array" aca="1" ref="AX125" ca="1">IF(OR(Formulas!AY123=0,Formulas!AY123=""),"",HYPERLINK("["&amp;Archivo_Nombre&amp;"]Datos!"&amp;LEFT(SUBSTITUTE(ADDRESS(1,Formulas!AY123+2),"$",""))&amp;Formulas!AX123+1,
IFERROR(INDEX(Datos!$A$2:$K$102,Formulas!AX123,Formulas!AY123+2),"")))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21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IFERROR(INDEX(Datos!$A$2:$K$102,Formulas!D123,RIGHT(Formulas!F123)+2),"")))</f>
        <v/>
      </c>
      <c r="E126" s="121" t="str" cm="1">
        <f t="array" aca="1" ref="E126" ca="1">IF(OR(Formulas!F124=0,Formulas!F124=""),"",HYPERLINK("["&amp;Archivo_Nombre&amp;"]Datos!"&amp;LEFT(SUBSTITUTE(ADDRESS(1,Formulas!F124+2),"$",""))&amp;Formulas!E124+1,
IFERROR(INDEX(Datos!$A$2:$K$102,Formulas!E124,Formulas!F124+2),"")))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21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IFERROR(INDEX(Datos!$A$2:$K$102,Formulas!I123,RIGHT(Formulas!K123)+2),"")))</f>
        <v/>
      </c>
      <c r="J126" s="121" t="str" cm="1">
        <f t="array" aca="1" ref="J126" ca="1">IF(OR(Formulas!K124=0,Formulas!K124=""),"",HYPERLINK("["&amp;Archivo_Nombre&amp;"]Datos!"&amp;LEFT(SUBSTITUTE(ADDRESS(1,Formulas!K124+2),"$",""))&amp;Formulas!J124+1,
IFERROR(INDEX(Datos!$A$2:$K$102,Formulas!J124,Formulas!K124+2),"")))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21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IFERROR(INDEX(Datos!$A$2:$K$102,Formulas!N123,RIGHT(Formulas!P123)+2),"")))</f>
        <v/>
      </c>
      <c r="O126" s="121" t="str" cm="1">
        <f t="array" aca="1" ref="O126" ca="1">IF(OR(Formulas!P124=0,Formulas!P124=""),"",HYPERLINK("["&amp;Archivo_Nombre&amp;"]Datos!"&amp;LEFT(SUBSTITUTE(ADDRESS(1,Formulas!P124+2),"$",""))&amp;Formulas!O124+1,
IFERROR(INDEX(Datos!$A$2:$K$102,Formulas!O124,Formulas!P124+2),"")))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21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IFERROR(INDEX(Datos!$A$2:$K$102,Formulas!S123,RIGHT(Formulas!U123)+2),"")))</f>
        <v>45846</v>
      </c>
      <c r="T126" s="121" t="e" cm="1">
        <f t="array" aca="1" ref="T126" ca="1">IF(OR(Formulas!U124=0,Formulas!U124=""),"",HYPERLINK("["&amp;Archivo_Nombre&amp;"]Datos!"&amp;LEFT(SUBSTITUTE(ADDRESS(1,Formulas!U124+2),"$",""))&amp;Formulas!T124+1,
IFERROR(INDEX(Datos!$A$2:$K$102,Formulas!T124,Formulas!U124+2),"")))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21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IFERROR(INDEX(Datos!$A$2:$K$102,Formulas!X123,RIGHT(Formulas!Z123)+2),"")))</f>
        <v/>
      </c>
      <c r="Y126" s="121" t="str" cm="1">
        <f t="array" aca="1" ref="Y126" ca="1">IF(OR(Formulas!Z124=0,Formulas!Z124=""),"",HYPERLINK("["&amp;Archivo_Nombre&amp;"]Datos!"&amp;LEFT(SUBSTITUTE(ADDRESS(1,Formulas!Z124+2),"$",""))&amp;Formulas!Y124+1,
IFERROR(INDEX(Datos!$A$2:$K$102,Formulas!Y124,Formulas!Z124+2),"")))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21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IFERROR(INDEX(Datos!$A$2:$K$102,Formulas!AC123,RIGHT(Formulas!AE123)+2),"")))</f>
        <v/>
      </c>
      <c r="AD126" s="121" t="str" cm="1">
        <f t="array" aca="1" ref="AD126" ca="1">IF(OR(Formulas!AE124=0,Formulas!AE124=""),"",HYPERLINK("["&amp;Archivo_Nombre&amp;"]Datos!"&amp;LEFT(SUBSTITUTE(ADDRESS(1,Formulas!AE124+2),"$",""))&amp;Formulas!AD124+1,
IFERROR(INDEX(Datos!$A$2:$K$102,Formulas!AD124,Formulas!AE124+2),"")))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21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IFERROR(INDEX(Datos!$A$2:$K$102,Formulas!AH123,RIGHT(Formulas!AJ123)+2),"")))</f>
        <v/>
      </c>
      <c r="AI126" s="121" t="str" cm="1">
        <f t="array" aca="1" ref="AI126" ca="1">IF(OR(Formulas!AJ124=0,Formulas!AJ124=""),"",HYPERLINK("["&amp;Archivo_Nombre&amp;"]Datos!"&amp;LEFT(SUBSTITUTE(ADDRESS(1,Formulas!AJ124+2),"$",""))&amp;Formulas!AI124+1,
IFERROR(INDEX(Datos!$A$2:$K$102,Formulas!AI124,Formulas!AJ124+2),"")))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21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IFERROR(INDEX(Datos!$A$2:$K$102,Formulas!AM123,RIGHT(Formulas!AO123)+2),"")))</f>
        <v/>
      </c>
      <c r="AN126" s="121" t="str" cm="1">
        <f t="array" aca="1" ref="AN126" ca="1">IF(OR(Formulas!AO124=0,Formulas!AO124=""),"",HYPERLINK("["&amp;Archivo_Nombre&amp;"]Datos!"&amp;LEFT(SUBSTITUTE(ADDRESS(1,Formulas!AO124+2),"$",""))&amp;Formulas!AN124+1,
IFERROR(INDEX(Datos!$A$2:$K$102,Formulas!AN124,Formulas!AO124+2),"")))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21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IFERROR(INDEX(Datos!$A$2:$K$102,Formulas!AR123,RIGHT(Formulas!AT123)+2),"")))</f>
        <v/>
      </c>
      <c r="AS126" s="121" t="str" cm="1">
        <f t="array" aca="1" ref="AS126" ca="1">IF(OR(Formulas!AT124=0,Formulas!AT124=""),"",HYPERLINK("["&amp;Archivo_Nombre&amp;"]Datos!"&amp;LEFT(SUBSTITUTE(ADDRESS(1,Formulas!AT124+2),"$",""))&amp;Formulas!AS124+1,
IFERROR(INDEX(Datos!$A$2:$K$102,Formulas!AS124,Formulas!AT124+2),"")))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21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IFERROR(INDEX(Datos!$A$2:$K$102,Formulas!AW123,RIGHT(Formulas!AY123)+2),"")))</f>
        <v/>
      </c>
      <c r="AX126" s="121" t="str" cm="1">
        <f t="array" aca="1" ref="AX126" ca="1">IF(OR(Formulas!AY124=0,Formulas!AY124=""),"",HYPERLINK("["&amp;Archivo_Nombre&amp;"]Datos!"&amp;LEFT(SUBSTITUTE(ADDRESS(1,Formulas!AY124+2),"$",""))&amp;Formulas!AX124+1,
IFERROR(INDEX(Datos!$A$2:$K$102,Formulas!AX124,Formulas!AY124+2),"")))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21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IFERROR(INDEX(Datos!$A$2:$K$102,Formulas!D124,RIGHT(Formulas!F124)+2),"")))</f>
        <v/>
      </c>
      <c r="E127" s="121" t="str" cm="1">
        <f t="array" aca="1" ref="E127" ca="1">IF(OR(Formulas!F125=0,Formulas!F125=""),"",HYPERLINK("["&amp;Archivo_Nombre&amp;"]Datos!"&amp;LEFT(SUBSTITUTE(ADDRESS(1,Formulas!F125+2),"$",""))&amp;Formulas!E125+1,
IFERROR(INDEX(Datos!$A$2:$K$102,Formulas!E125,Formulas!F125+2),"")))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21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IFERROR(INDEX(Datos!$A$2:$K$102,Formulas!I124,RIGHT(Formulas!K124)+2),"")))</f>
        <v/>
      </c>
      <c r="J127" s="121" t="str" cm="1">
        <f t="array" aca="1" ref="J127" ca="1">IF(OR(Formulas!K125=0,Formulas!K125=""),"",HYPERLINK("["&amp;Archivo_Nombre&amp;"]Datos!"&amp;LEFT(SUBSTITUTE(ADDRESS(1,Formulas!K125+2),"$",""))&amp;Formulas!J125+1,
IFERROR(INDEX(Datos!$A$2:$K$102,Formulas!J125,Formulas!K125+2),"")))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21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IFERROR(INDEX(Datos!$A$2:$K$102,Formulas!N124,RIGHT(Formulas!P124)+2),"")))</f>
        <v/>
      </c>
      <c r="O127" s="121" t="str" cm="1">
        <f t="array" aca="1" ref="O127" ca="1">IF(OR(Formulas!P125=0,Formulas!P125=""),"",HYPERLINK("["&amp;Archivo_Nombre&amp;"]Datos!"&amp;LEFT(SUBSTITUTE(ADDRESS(1,Formulas!P125+2),"$",""))&amp;Formulas!O125+1,
IFERROR(INDEX(Datos!$A$2:$K$102,Formulas!O125,Formulas!P125+2),"")))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21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IFERROR(INDEX(Datos!$A$2:$K$102,Formulas!S124,RIGHT(Formulas!U124)+2),"")))</f>
        <v>45846</v>
      </c>
      <c r="T127" s="121" t="e" cm="1">
        <f t="array" aca="1" ref="T127" ca="1">IF(OR(Formulas!U125=0,Formulas!U125=""),"",HYPERLINK("["&amp;Archivo_Nombre&amp;"]Datos!"&amp;LEFT(SUBSTITUTE(ADDRESS(1,Formulas!U125+2),"$",""))&amp;Formulas!T125+1,
IFERROR(INDEX(Datos!$A$2:$K$102,Formulas!T125,Formulas!U125+2),"")))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21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IFERROR(INDEX(Datos!$A$2:$K$102,Formulas!X124,RIGHT(Formulas!Z124)+2),"")))</f>
        <v/>
      </c>
      <c r="Y127" s="121" t="str" cm="1">
        <f t="array" aca="1" ref="Y127" ca="1">IF(OR(Formulas!Z125=0,Formulas!Z125=""),"",HYPERLINK("["&amp;Archivo_Nombre&amp;"]Datos!"&amp;LEFT(SUBSTITUTE(ADDRESS(1,Formulas!Z125+2),"$",""))&amp;Formulas!Y125+1,
IFERROR(INDEX(Datos!$A$2:$K$102,Formulas!Y125,Formulas!Z125+2),"")))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21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IFERROR(INDEX(Datos!$A$2:$K$102,Formulas!AC124,RIGHT(Formulas!AE124)+2),"")))</f>
        <v/>
      </c>
      <c r="AD127" s="121" t="str" cm="1">
        <f t="array" aca="1" ref="AD127" ca="1">IF(OR(Formulas!AE125=0,Formulas!AE125=""),"",HYPERLINK("["&amp;Archivo_Nombre&amp;"]Datos!"&amp;LEFT(SUBSTITUTE(ADDRESS(1,Formulas!AE125+2),"$",""))&amp;Formulas!AD125+1,
IFERROR(INDEX(Datos!$A$2:$K$102,Formulas!AD125,Formulas!AE125+2),"")))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21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IFERROR(INDEX(Datos!$A$2:$K$102,Formulas!AH124,RIGHT(Formulas!AJ124)+2),"")))</f>
        <v/>
      </c>
      <c r="AI127" s="121" t="str" cm="1">
        <f t="array" aca="1" ref="AI127" ca="1">IF(OR(Formulas!AJ125=0,Formulas!AJ125=""),"",HYPERLINK("["&amp;Archivo_Nombre&amp;"]Datos!"&amp;LEFT(SUBSTITUTE(ADDRESS(1,Formulas!AJ125+2),"$",""))&amp;Formulas!AI125+1,
IFERROR(INDEX(Datos!$A$2:$K$102,Formulas!AI125,Formulas!AJ125+2),"")))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21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IFERROR(INDEX(Datos!$A$2:$K$102,Formulas!AM124,RIGHT(Formulas!AO124)+2),"")))</f>
        <v/>
      </c>
      <c r="AN127" s="121" t="str" cm="1">
        <f t="array" aca="1" ref="AN127" ca="1">IF(OR(Formulas!AO125=0,Formulas!AO125=""),"",HYPERLINK("["&amp;Archivo_Nombre&amp;"]Datos!"&amp;LEFT(SUBSTITUTE(ADDRESS(1,Formulas!AO125+2),"$",""))&amp;Formulas!AN125+1,
IFERROR(INDEX(Datos!$A$2:$K$102,Formulas!AN125,Formulas!AO125+2),"")))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21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IFERROR(INDEX(Datos!$A$2:$K$102,Formulas!AR124,RIGHT(Formulas!AT124)+2),"")))</f>
        <v/>
      </c>
      <c r="AS127" s="121" t="str" cm="1">
        <f t="array" aca="1" ref="AS127" ca="1">IF(OR(Formulas!AT125=0,Formulas!AT125=""),"",HYPERLINK("["&amp;Archivo_Nombre&amp;"]Datos!"&amp;LEFT(SUBSTITUTE(ADDRESS(1,Formulas!AT125+2),"$",""))&amp;Formulas!AS125+1,
IFERROR(INDEX(Datos!$A$2:$K$102,Formulas!AS125,Formulas!AT125+2),"")))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21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IFERROR(INDEX(Datos!$A$2:$K$102,Formulas!AW124,RIGHT(Formulas!AY124)+2),"")))</f>
        <v/>
      </c>
      <c r="AX127" s="121" t="str" cm="1">
        <f t="array" aca="1" ref="AX127" ca="1">IF(OR(Formulas!AY125=0,Formulas!AY125=""),"",HYPERLINK("["&amp;Archivo_Nombre&amp;"]Datos!"&amp;LEFT(SUBSTITUTE(ADDRESS(1,Formulas!AY125+2),"$",""))&amp;Formulas!AX125+1,
IFERROR(INDEX(Datos!$A$2:$K$102,Formulas!AX125,Formulas!AY125+2),"")))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21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IFERROR(INDEX(Datos!$A$2:$K$102,Formulas!D125,RIGHT(Formulas!F125)+2),"")))</f>
        <v/>
      </c>
      <c r="E128" s="121" t="str" cm="1">
        <f t="array" aca="1" ref="E128" ca="1">IF(OR(Formulas!F126=0,Formulas!F126=""),"",HYPERLINK("["&amp;Archivo_Nombre&amp;"]Datos!"&amp;LEFT(SUBSTITUTE(ADDRESS(1,Formulas!F126+2),"$",""))&amp;Formulas!E126+1,
IFERROR(INDEX(Datos!$A$2:$K$102,Formulas!E126,Formulas!F126+2),"")))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21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IFERROR(INDEX(Datos!$A$2:$K$102,Formulas!I125,RIGHT(Formulas!K125)+2),"")))</f>
        <v/>
      </c>
      <c r="J128" s="121" t="str" cm="1">
        <f t="array" aca="1" ref="J128" ca="1">IF(OR(Formulas!K126=0,Formulas!K126=""),"",HYPERLINK("["&amp;Archivo_Nombre&amp;"]Datos!"&amp;LEFT(SUBSTITUTE(ADDRESS(1,Formulas!K126+2),"$",""))&amp;Formulas!J126+1,
IFERROR(INDEX(Datos!$A$2:$K$102,Formulas!J126,Formulas!K126+2),"")))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21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IFERROR(INDEX(Datos!$A$2:$K$102,Formulas!N125,RIGHT(Formulas!P125)+2),"")))</f>
        <v/>
      </c>
      <c r="O128" s="121" t="str" cm="1">
        <f t="array" aca="1" ref="O128" ca="1">IF(OR(Formulas!P126=0,Formulas!P126=""),"",HYPERLINK("["&amp;Archivo_Nombre&amp;"]Datos!"&amp;LEFT(SUBSTITUTE(ADDRESS(1,Formulas!P126+2),"$",""))&amp;Formulas!O126+1,
IFERROR(INDEX(Datos!$A$2:$K$102,Formulas!O126,Formulas!P126+2),"")))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21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IFERROR(INDEX(Datos!$A$2:$K$102,Formulas!S125,RIGHT(Formulas!U125)+2),"")))</f>
        <v>1 días</v>
      </c>
      <c r="T128" s="121" t="e" cm="1">
        <f t="array" aca="1" ref="T128" ca="1">IF(OR(Formulas!U126=0,Formulas!U126=""),"",HYPERLINK("["&amp;Archivo_Nombre&amp;"]Datos!"&amp;LEFT(SUBSTITUTE(ADDRESS(1,Formulas!U126+2),"$",""))&amp;Formulas!T126+1,
IFERROR(INDEX(Datos!$A$2:$K$102,Formulas!T126,Formulas!U126+2),"")))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21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IFERROR(INDEX(Datos!$A$2:$K$102,Formulas!X125,RIGHT(Formulas!Z125)+2),"")))</f>
        <v/>
      </c>
      <c r="Y128" s="121" t="str" cm="1">
        <f t="array" aca="1" ref="Y128" ca="1">IF(OR(Formulas!Z126=0,Formulas!Z126=""),"",HYPERLINK("["&amp;Archivo_Nombre&amp;"]Datos!"&amp;LEFT(SUBSTITUTE(ADDRESS(1,Formulas!Z126+2),"$",""))&amp;Formulas!Y126+1,
IFERROR(INDEX(Datos!$A$2:$K$102,Formulas!Y126,Formulas!Z126+2),"")))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21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IFERROR(INDEX(Datos!$A$2:$K$102,Formulas!AC125,RIGHT(Formulas!AE125)+2),"")))</f>
        <v/>
      </c>
      <c r="AD128" s="121" t="str" cm="1">
        <f t="array" aca="1" ref="AD128" ca="1">IF(OR(Formulas!AE126=0,Formulas!AE126=""),"",HYPERLINK("["&amp;Archivo_Nombre&amp;"]Datos!"&amp;LEFT(SUBSTITUTE(ADDRESS(1,Formulas!AE126+2),"$",""))&amp;Formulas!AD126+1,
IFERROR(INDEX(Datos!$A$2:$K$102,Formulas!AD126,Formulas!AE126+2),"")))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21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IFERROR(INDEX(Datos!$A$2:$K$102,Formulas!AH125,RIGHT(Formulas!AJ125)+2),"")))</f>
        <v/>
      </c>
      <c r="AI128" s="121" t="str" cm="1">
        <f t="array" aca="1" ref="AI128" ca="1">IF(OR(Formulas!AJ126=0,Formulas!AJ126=""),"",HYPERLINK("["&amp;Archivo_Nombre&amp;"]Datos!"&amp;LEFT(SUBSTITUTE(ADDRESS(1,Formulas!AJ126+2),"$",""))&amp;Formulas!AI126+1,
IFERROR(INDEX(Datos!$A$2:$K$102,Formulas!AI126,Formulas!AJ126+2),"")))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21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IFERROR(INDEX(Datos!$A$2:$K$102,Formulas!AM125,RIGHT(Formulas!AO125)+2),"")))</f>
        <v/>
      </c>
      <c r="AN128" s="121" t="str" cm="1">
        <f t="array" aca="1" ref="AN128" ca="1">IF(OR(Formulas!AO126=0,Formulas!AO126=""),"",HYPERLINK("["&amp;Archivo_Nombre&amp;"]Datos!"&amp;LEFT(SUBSTITUTE(ADDRESS(1,Formulas!AO126+2),"$",""))&amp;Formulas!AN126+1,
IFERROR(INDEX(Datos!$A$2:$K$102,Formulas!AN126,Formulas!AO126+2),"")))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21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IFERROR(INDEX(Datos!$A$2:$K$102,Formulas!AR125,RIGHT(Formulas!AT125)+2),"")))</f>
        <v/>
      </c>
      <c r="AS128" s="121" t="str" cm="1">
        <f t="array" aca="1" ref="AS128" ca="1">IF(OR(Formulas!AT126=0,Formulas!AT126=""),"",HYPERLINK("["&amp;Archivo_Nombre&amp;"]Datos!"&amp;LEFT(SUBSTITUTE(ADDRESS(1,Formulas!AT126+2),"$",""))&amp;Formulas!AS126+1,
IFERROR(INDEX(Datos!$A$2:$K$102,Formulas!AS126,Formulas!AT126+2),"")))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21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IFERROR(INDEX(Datos!$A$2:$K$102,Formulas!AW125,RIGHT(Formulas!AY125)+2),"")))</f>
        <v/>
      </c>
      <c r="AX128" s="121" t="str" cm="1">
        <f t="array" aca="1" ref="AX128" ca="1">IF(OR(Formulas!AY126=0,Formulas!AY126=""),"",HYPERLINK("["&amp;Archivo_Nombre&amp;"]Datos!"&amp;LEFT(SUBSTITUTE(ADDRESS(1,Formulas!AY126+2),"$",""))&amp;Formulas!AX126+1,
IFERROR(INDEX(Datos!$A$2:$K$102,Formulas!AX126,Formulas!AY126+2),"")))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21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IFERROR(INDEX(Datos!$A$2:$K$102,Formulas!D126,RIGHT(Formulas!F126)+2),"")))</f>
        <v/>
      </c>
      <c r="E129" s="121" t="str" cm="1">
        <f t="array" aca="1" ref="E129" ca="1">IF(OR(Formulas!F127=0,Formulas!F127=""),"",HYPERLINK("["&amp;Archivo_Nombre&amp;"]Datos!"&amp;LEFT(SUBSTITUTE(ADDRESS(1,Formulas!F127+2),"$",""))&amp;Formulas!E127+1,
IFERROR(INDEX(Datos!$A$2:$K$102,Formulas!E127,Formulas!F127+2),"")))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21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IFERROR(INDEX(Datos!$A$2:$K$102,Formulas!I126,RIGHT(Formulas!K126)+2),"")))</f>
        <v/>
      </c>
      <c r="J129" s="121" t="str" cm="1">
        <f t="array" aca="1" ref="J129" ca="1">IF(OR(Formulas!K127=0,Formulas!K127=""),"",HYPERLINK("["&amp;Archivo_Nombre&amp;"]Datos!"&amp;LEFT(SUBSTITUTE(ADDRESS(1,Formulas!K127+2),"$",""))&amp;Formulas!J127+1,
IFERROR(INDEX(Datos!$A$2:$K$102,Formulas!J127,Formulas!K127+2),"")))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21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IFERROR(INDEX(Datos!$A$2:$K$102,Formulas!N126,RIGHT(Formulas!P126)+2),"")))</f>
        <v/>
      </c>
      <c r="O129" s="121" t="str" cm="1">
        <f t="array" aca="1" ref="O129" ca="1">IF(OR(Formulas!P127=0,Formulas!P127=""),"",HYPERLINK("["&amp;Archivo_Nombre&amp;"]Datos!"&amp;LEFT(SUBSTITUTE(ADDRESS(1,Formulas!P127+2),"$",""))&amp;Formulas!O127+1,
IFERROR(INDEX(Datos!$A$2:$K$102,Formulas!O127,Formulas!P127+2),"")))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21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IFERROR(INDEX(Datos!$A$2:$K$102,Formulas!S126,RIGHT(Formulas!U126)+2),"")))</f>
        <v>0 días</v>
      </c>
      <c r="T129" s="121" t="e" cm="1">
        <f t="array" aca="1" ref="T129" ca="1">IF(OR(Formulas!U127=0,Formulas!U127=""),"",HYPERLINK("["&amp;Archivo_Nombre&amp;"]Datos!"&amp;LEFT(SUBSTITUTE(ADDRESS(1,Formulas!U127+2),"$",""))&amp;Formulas!T127+1,
IFERROR(INDEX(Datos!$A$2:$K$102,Formulas!T127,Formulas!U127+2),"")))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21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IFERROR(INDEX(Datos!$A$2:$K$102,Formulas!X126,RIGHT(Formulas!Z126)+2),"")))</f>
        <v/>
      </c>
      <c r="Y129" s="121" t="str" cm="1">
        <f t="array" aca="1" ref="Y129" ca="1">IF(OR(Formulas!Z127=0,Formulas!Z127=""),"",HYPERLINK("["&amp;Archivo_Nombre&amp;"]Datos!"&amp;LEFT(SUBSTITUTE(ADDRESS(1,Formulas!Z127+2),"$",""))&amp;Formulas!Y127+1,
IFERROR(INDEX(Datos!$A$2:$K$102,Formulas!Y127,Formulas!Z127+2),"")))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21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IFERROR(INDEX(Datos!$A$2:$K$102,Formulas!AC126,RIGHT(Formulas!AE126)+2),"")))</f>
        <v/>
      </c>
      <c r="AD129" s="121" t="str" cm="1">
        <f t="array" aca="1" ref="AD129" ca="1">IF(OR(Formulas!AE127=0,Formulas!AE127=""),"",HYPERLINK("["&amp;Archivo_Nombre&amp;"]Datos!"&amp;LEFT(SUBSTITUTE(ADDRESS(1,Formulas!AE127+2),"$",""))&amp;Formulas!AD127+1,
IFERROR(INDEX(Datos!$A$2:$K$102,Formulas!AD127,Formulas!AE127+2),"")))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21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IFERROR(INDEX(Datos!$A$2:$K$102,Formulas!AH126,RIGHT(Formulas!AJ126)+2),"")))</f>
        <v/>
      </c>
      <c r="AI129" s="121" t="str" cm="1">
        <f t="array" aca="1" ref="AI129" ca="1">IF(OR(Formulas!AJ127=0,Formulas!AJ127=""),"",HYPERLINK("["&amp;Archivo_Nombre&amp;"]Datos!"&amp;LEFT(SUBSTITUTE(ADDRESS(1,Formulas!AJ127+2),"$",""))&amp;Formulas!AI127+1,
IFERROR(INDEX(Datos!$A$2:$K$102,Formulas!AI127,Formulas!AJ127+2),"")))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21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IFERROR(INDEX(Datos!$A$2:$K$102,Formulas!AM126,RIGHT(Formulas!AO126)+2),"")))</f>
        <v/>
      </c>
      <c r="AN129" s="121" t="str" cm="1">
        <f t="array" aca="1" ref="AN129" ca="1">IF(OR(Formulas!AO127=0,Formulas!AO127=""),"",HYPERLINK("["&amp;Archivo_Nombre&amp;"]Datos!"&amp;LEFT(SUBSTITUTE(ADDRESS(1,Formulas!AO127+2),"$",""))&amp;Formulas!AN127+1,
IFERROR(INDEX(Datos!$A$2:$K$102,Formulas!AN127,Formulas!AO127+2),"")))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21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IFERROR(INDEX(Datos!$A$2:$K$102,Formulas!AR126,RIGHT(Formulas!AT126)+2),"")))</f>
        <v/>
      </c>
      <c r="AS129" s="121" t="str" cm="1">
        <f t="array" aca="1" ref="AS129" ca="1">IF(OR(Formulas!AT127=0,Formulas!AT127=""),"",HYPERLINK("["&amp;Archivo_Nombre&amp;"]Datos!"&amp;LEFT(SUBSTITUTE(ADDRESS(1,Formulas!AT127+2),"$",""))&amp;Formulas!AS127+1,
IFERROR(INDEX(Datos!$A$2:$K$102,Formulas!AS127,Formulas!AT127+2),"")))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21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IFERROR(INDEX(Datos!$A$2:$K$102,Formulas!AW126,RIGHT(Formulas!AY126)+2),"")))</f>
        <v/>
      </c>
      <c r="AX129" s="121" t="str" cm="1">
        <f t="array" aca="1" ref="AX129" ca="1">IF(OR(Formulas!AY127=0,Formulas!AY127=""),"",HYPERLINK("["&amp;Archivo_Nombre&amp;"]Datos!"&amp;LEFT(SUBSTITUTE(ADDRESS(1,Formulas!AY127+2),"$",""))&amp;Formulas!AX127+1,
IFERROR(INDEX(Datos!$A$2:$K$102,Formulas!AX127,Formulas!AY127+2),"")))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21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IFERROR(INDEX(Datos!$A$2:$K$102,Formulas!D127,RIGHT(Formulas!F127)+2),"")))</f>
        <v/>
      </c>
      <c r="E130" s="121" t="str" cm="1">
        <f t="array" aca="1" ref="E130" ca="1">IF(OR(Formulas!F128=0,Formulas!F128=""),"",HYPERLINK("["&amp;Archivo_Nombre&amp;"]Datos!"&amp;LEFT(SUBSTITUTE(ADDRESS(1,Formulas!F128+2),"$",""))&amp;Formulas!E128+1,
IFERROR(INDEX(Datos!$A$2:$K$102,Formulas!E128,Formulas!F128+2),"")))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21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IFERROR(INDEX(Datos!$A$2:$K$102,Formulas!I127,RIGHT(Formulas!K127)+2),"")))</f>
        <v/>
      </c>
      <c r="J130" s="121" t="str" cm="1">
        <f t="array" aca="1" ref="J130" ca="1">IF(OR(Formulas!K128=0,Formulas!K128=""),"",HYPERLINK("["&amp;Archivo_Nombre&amp;"]Datos!"&amp;LEFT(SUBSTITUTE(ADDRESS(1,Formulas!K128+2),"$",""))&amp;Formulas!J128+1,
IFERROR(INDEX(Datos!$A$2:$K$102,Formulas!J128,Formulas!K128+2),"")))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21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IFERROR(INDEX(Datos!$A$2:$K$102,Formulas!N127,RIGHT(Formulas!P127)+2),"")))</f>
        <v/>
      </c>
      <c r="O130" s="121" t="str" cm="1">
        <f t="array" aca="1" ref="O130" ca="1">IF(OR(Formulas!P128=0,Formulas!P128=""),"",HYPERLINK("["&amp;Archivo_Nombre&amp;"]Datos!"&amp;LEFT(SUBSTITUTE(ADDRESS(1,Formulas!P128+2),"$",""))&amp;Formulas!O128+1,
IFERROR(INDEX(Datos!$A$2:$K$102,Formulas!O128,Formulas!P128+2),"")))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21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IFERROR(INDEX(Datos!$A$2:$K$102,Formulas!S127,RIGHT(Formulas!U127)+2),"")))</f>
        <v>Madellyn Tasipanta</v>
      </c>
      <c r="T130" s="121" t="str" cm="1">
        <f t="array" aca="1" ref="T130" ca="1">IF(OR(Formulas!U128=0,Formulas!U128=""),"",HYPERLINK("["&amp;Archivo_Nombre&amp;"]Datos!"&amp;LEFT(SUBSTITUTE(ADDRESS(1,Formulas!U128+2),"$",""))&amp;Formulas!T128+1,
IFERROR(INDEX(Datos!$A$2:$K$102,Formulas!T128,Formulas!U128+2),"")))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21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IFERROR(INDEX(Datos!$A$2:$K$102,Formulas!X127,RIGHT(Formulas!Z127)+2),"")))</f>
        <v/>
      </c>
      <c r="Y130" s="121" t="str" cm="1">
        <f t="array" aca="1" ref="Y130" ca="1">IF(OR(Formulas!Z128=0,Formulas!Z128=""),"",HYPERLINK("["&amp;Archivo_Nombre&amp;"]Datos!"&amp;LEFT(SUBSTITUTE(ADDRESS(1,Formulas!Z128+2),"$",""))&amp;Formulas!Y128+1,
IFERROR(INDEX(Datos!$A$2:$K$102,Formulas!Y128,Formulas!Z128+2),"")))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21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IFERROR(INDEX(Datos!$A$2:$K$102,Formulas!AC127,RIGHT(Formulas!AE127)+2),"")))</f>
        <v/>
      </c>
      <c r="AD130" s="121" t="str" cm="1">
        <f t="array" aca="1" ref="AD130" ca="1">IF(OR(Formulas!AE128=0,Formulas!AE128=""),"",HYPERLINK("["&amp;Archivo_Nombre&amp;"]Datos!"&amp;LEFT(SUBSTITUTE(ADDRESS(1,Formulas!AE128+2),"$",""))&amp;Formulas!AD128+1,
IFERROR(INDEX(Datos!$A$2:$K$102,Formulas!AD128,Formulas!AE128+2),"")))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21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IFERROR(INDEX(Datos!$A$2:$K$102,Formulas!AH127,RIGHT(Formulas!AJ127)+2),"")))</f>
        <v/>
      </c>
      <c r="AI130" s="121" t="str" cm="1">
        <f t="array" aca="1" ref="AI130" ca="1">IF(OR(Formulas!AJ128=0,Formulas!AJ128=""),"",HYPERLINK("["&amp;Archivo_Nombre&amp;"]Datos!"&amp;LEFT(SUBSTITUTE(ADDRESS(1,Formulas!AJ128+2),"$",""))&amp;Formulas!AI128+1,
IFERROR(INDEX(Datos!$A$2:$K$102,Formulas!AI128,Formulas!AJ128+2),"")))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21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IFERROR(INDEX(Datos!$A$2:$K$102,Formulas!AM127,RIGHT(Formulas!AO127)+2),"")))</f>
        <v/>
      </c>
      <c r="AN130" s="121" t="str" cm="1">
        <f t="array" aca="1" ref="AN130" ca="1">IF(OR(Formulas!AO128=0,Formulas!AO128=""),"",HYPERLINK("["&amp;Archivo_Nombre&amp;"]Datos!"&amp;LEFT(SUBSTITUTE(ADDRESS(1,Formulas!AO128+2),"$",""))&amp;Formulas!AN128+1,
IFERROR(INDEX(Datos!$A$2:$K$102,Formulas!AN128,Formulas!AO128+2),"")))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21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IFERROR(INDEX(Datos!$A$2:$K$102,Formulas!AR127,RIGHT(Formulas!AT127)+2),"")))</f>
        <v/>
      </c>
      <c r="AS130" s="121" t="str" cm="1">
        <f t="array" aca="1" ref="AS130" ca="1">IF(OR(Formulas!AT128=0,Formulas!AT128=""),"",HYPERLINK("["&amp;Archivo_Nombre&amp;"]Datos!"&amp;LEFT(SUBSTITUTE(ADDRESS(1,Formulas!AT128+2),"$",""))&amp;Formulas!AS128+1,
IFERROR(INDEX(Datos!$A$2:$K$102,Formulas!AS128,Formulas!AT128+2),"")))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21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IFERROR(INDEX(Datos!$A$2:$K$102,Formulas!AW127,RIGHT(Formulas!AY127)+2),"")))</f>
        <v/>
      </c>
      <c r="AX130" s="121" t="str" cm="1">
        <f t="array" aca="1" ref="AX130" ca="1">IF(OR(Formulas!AY128=0,Formulas!AY128=""),"",HYPERLINK("["&amp;Archivo_Nombre&amp;"]Datos!"&amp;LEFT(SUBSTITUTE(ADDRESS(1,Formulas!AY128+2),"$",""))&amp;Formulas!AX128+1,
IFERROR(INDEX(Datos!$A$2:$K$102,Formulas!AX128,Formulas!AY128+2),"")))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21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IFERROR(INDEX(Datos!$A$2:$K$102,Formulas!D128,RIGHT(Formulas!F128)+2),"")))</f>
        <v/>
      </c>
      <c r="E131" s="121" t="str" cm="1">
        <f t="array" aca="1" ref="E131" ca="1">IF(OR(Formulas!F129=0,Formulas!F129=""),"",HYPERLINK("["&amp;Archivo_Nombre&amp;"]Datos!"&amp;LEFT(SUBSTITUTE(ADDRESS(1,Formulas!F129+2),"$",""))&amp;Formulas!E129+1,
IFERROR(INDEX(Datos!$A$2:$K$102,Formulas!E129,Formulas!F129+2),"")))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21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IFERROR(INDEX(Datos!$A$2:$K$102,Formulas!I128,RIGHT(Formulas!K128)+2),"")))</f>
        <v/>
      </c>
      <c r="J131" s="121" t="str" cm="1">
        <f t="array" aca="1" ref="J131" ca="1">IF(OR(Formulas!K129=0,Formulas!K129=""),"",HYPERLINK("["&amp;Archivo_Nombre&amp;"]Datos!"&amp;LEFT(SUBSTITUTE(ADDRESS(1,Formulas!K129+2),"$",""))&amp;Formulas!J129+1,
IFERROR(INDEX(Datos!$A$2:$K$102,Formulas!J129,Formulas!K129+2),"")))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21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IFERROR(INDEX(Datos!$A$2:$K$102,Formulas!N128,RIGHT(Formulas!P128)+2),"")))</f>
        <v/>
      </c>
      <c r="O131" s="121" t="str" cm="1">
        <f t="array" aca="1" ref="O131" ca="1">IF(OR(Formulas!P129=0,Formulas!P129=""),"",HYPERLINK("["&amp;Archivo_Nombre&amp;"]Datos!"&amp;LEFT(SUBSTITUTE(ADDRESS(1,Formulas!P129+2),"$",""))&amp;Formulas!O129+1,
IFERROR(INDEX(Datos!$A$2:$K$102,Formulas!O129,Formulas!P129+2),"")))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21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IFERROR(INDEX(Datos!$A$2:$K$102,Formulas!S128,RIGHT(Formulas!U128)+2),"")))</f>
        <v/>
      </c>
      <c r="T131" s="121" t="e" cm="1">
        <f t="array" aca="1" ref="T131" ca="1">IF(OR(Formulas!U129=0,Formulas!U129=""),"",HYPERLINK("["&amp;Archivo_Nombre&amp;"]Datos!"&amp;LEFT(SUBSTITUTE(ADDRESS(1,Formulas!U129+2),"$",""))&amp;Formulas!T129+1,
IFERROR(INDEX(Datos!$A$2:$K$102,Formulas!T129,Formulas!U129+2),"")))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21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IFERROR(INDEX(Datos!$A$2:$K$102,Formulas!X128,RIGHT(Formulas!Z128)+2),"")))</f>
        <v/>
      </c>
      <c r="Y131" s="121" t="str" cm="1">
        <f t="array" aca="1" ref="Y131" ca="1">IF(OR(Formulas!Z129=0,Formulas!Z129=""),"",HYPERLINK("["&amp;Archivo_Nombre&amp;"]Datos!"&amp;LEFT(SUBSTITUTE(ADDRESS(1,Formulas!Z129+2),"$",""))&amp;Formulas!Y129+1,
IFERROR(INDEX(Datos!$A$2:$K$102,Formulas!Y129,Formulas!Z129+2),"")))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21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IFERROR(INDEX(Datos!$A$2:$K$102,Formulas!AC128,RIGHT(Formulas!AE128)+2),"")))</f>
        <v/>
      </c>
      <c r="AD131" s="121" t="str" cm="1">
        <f t="array" aca="1" ref="AD131" ca="1">IF(OR(Formulas!AE129=0,Formulas!AE129=""),"",HYPERLINK("["&amp;Archivo_Nombre&amp;"]Datos!"&amp;LEFT(SUBSTITUTE(ADDRESS(1,Formulas!AE129+2),"$",""))&amp;Formulas!AD129+1,
IFERROR(INDEX(Datos!$A$2:$K$102,Formulas!AD129,Formulas!AE129+2),"")))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21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IFERROR(INDEX(Datos!$A$2:$K$102,Formulas!AH128,RIGHT(Formulas!AJ128)+2),"")))</f>
        <v/>
      </c>
      <c r="AI131" s="121" t="str" cm="1">
        <f t="array" aca="1" ref="AI131" ca="1">IF(OR(Formulas!AJ129=0,Formulas!AJ129=""),"",HYPERLINK("["&amp;Archivo_Nombre&amp;"]Datos!"&amp;LEFT(SUBSTITUTE(ADDRESS(1,Formulas!AJ129+2),"$",""))&amp;Formulas!AI129+1,
IFERROR(INDEX(Datos!$A$2:$K$102,Formulas!AI129,Formulas!AJ129+2),"")))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21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IFERROR(INDEX(Datos!$A$2:$K$102,Formulas!AM128,RIGHT(Formulas!AO128)+2),"")))</f>
        <v/>
      </c>
      <c r="AN131" s="121" t="str" cm="1">
        <f t="array" aca="1" ref="AN131" ca="1">IF(OR(Formulas!AO129=0,Formulas!AO129=""),"",HYPERLINK("["&amp;Archivo_Nombre&amp;"]Datos!"&amp;LEFT(SUBSTITUTE(ADDRESS(1,Formulas!AO129+2),"$",""))&amp;Formulas!AN129+1,
IFERROR(INDEX(Datos!$A$2:$K$102,Formulas!AN129,Formulas!AO129+2),"")))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21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IFERROR(INDEX(Datos!$A$2:$K$102,Formulas!AR128,RIGHT(Formulas!AT128)+2),"")))</f>
        <v/>
      </c>
      <c r="AS131" s="121" t="str" cm="1">
        <f t="array" aca="1" ref="AS131" ca="1">IF(OR(Formulas!AT129=0,Formulas!AT129=""),"",HYPERLINK("["&amp;Archivo_Nombre&amp;"]Datos!"&amp;LEFT(SUBSTITUTE(ADDRESS(1,Formulas!AT129+2),"$",""))&amp;Formulas!AS129+1,
IFERROR(INDEX(Datos!$A$2:$K$102,Formulas!AS129,Formulas!AT129+2),"")))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21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IFERROR(INDEX(Datos!$A$2:$K$102,Formulas!AW128,RIGHT(Formulas!AY128)+2),"")))</f>
        <v/>
      </c>
      <c r="AX131" s="121" t="str" cm="1">
        <f t="array" aca="1" ref="AX131" ca="1">IF(OR(Formulas!AY129=0,Formulas!AY129=""),"",HYPERLINK("["&amp;Archivo_Nombre&amp;"]Datos!"&amp;LEFT(SUBSTITUTE(ADDRESS(1,Formulas!AY129+2),"$",""))&amp;Formulas!AX129+1,
IFERROR(INDEX(Datos!$A$2:$K$102,Formulas!AX129,Formulas!AY129+2),"")))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21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IFERROR(INDEX(Datos!$A$2:$K$102,Formulas!D129,RIGHT(Formulas!F129)+2),"")))</f>
        <v/>
      </c>
      <c r="E132" s="121" t="str" cm="1">
        <f t="array" aca="1" ref="E132" ca="1">IF(OR(Formulas!F130=0,Formulas!F130=""),"",HYPERLINK("["&amp;Archivo_Nombre&amp;"]Datos!"&amp;LEFT(SUBSTITUTE(ADDRESS(1,Formulas!F130+2),"$",""))&amp;Formulas!E130+1,
IFERROR(INDEX(Datos!$A$2:$K$102,Formulas!E130,Formulas!F130+2),"")))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21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IFERROR(INDEX(Datos!$A$2:$K$102,Formulas!I129,RIGHT(Formulas!K129)+2),"")))</f>
        <v/>
      </c>
      <c r="J132" s="121" t="str" cm="1">
        <f t="array" aca="1" ref="J132" ca="1">IF(OR(Formulas!K130=0,Formulas!K130=""),"",HYPERLINK("["&amp;Archivo_Nombre&amp;"]Datos!"&amp;LEFT(SUBSTITUTE(ADDRESS(1,Formulas!K130+2),"$",""))&amp;Formulas!J130+1,
IFERROR(INDEX(Datos!$A$2:$K$102,Formulas!J130,Formulas!K130+2),"")))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21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IFERROR(INDEX(Datos!$A$2:$K$102,Formulas!N129,RIGHT(Formulas!P129)+2),"")))</f>
        <v/>
      </c>
      <c r="O132" s="121" t="str" cm="1">
        <f t="array" aca="1" ref="O132" ca="1">IF(OR(Formulas!P130=0,Formulas!P130=""),"",HYPERLINK("["&amp;Archivo_Nombre&amp;"]Datos!"&amp;LEFT(SUBSTITUTE(ADDRESS(1,Formulas!P130+2),"$",""))&amp;Formulas!O130+1,
IFERROR(INDEX(Datos!$A$2:$K$102,Formulas!O130,Formulas!P130+2),"")))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44:</v>
      </c>
      <c r="S132" s="121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IFERROR(INDEX(Datos!$A$2:$K$102,Formulas!S129,RIGHT(Formulas!U129)+2),"")))</f>
        <v>REQ005-4 Desarrollar historial de versiones visible con opción de ver versiones anteriores del contrato.</v>
      </c>
      <c r="T132" s="121" t="e" cm="1">
        <f t="array" aca="1" ref="T132" ca="1">IF(OR(Formulas!U130=0,Formulas!U130=""),"",HYPERLINK("["&amp;Archivo_Nombre&amp;"]Datos!"&amp;LEFT(SUBSTITUTE(ADDRESS(1,Formulas!U130+2),"$",""))&amp;Formulas!T130+1,
IFERROR(INDEX(Datos!$A$2:$K$102,Formulas!T130,Formulas!U130+2),"")))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21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IFERROR(INDEX(Datos!$A$2:$K$102,Formulas!X129,RIGHT(Formulas!Z129)+2),"")))</f>
        <v/>
      </c>
      <c r="Y132" s="121" t="str" cm="1">
        <f t="array" aca="1" ref="Y132" ca="1">IF(OR(Formulas!Z130=0,Formulas!Z130=""),"",HYPERLINK("["&amp;Archivo_Nombre&amp;"]Datos!"&amp;LEFT(SUBSTITUTE(ADDRESS(1,Formulas!Z130+2),"$",""))&amp;Formulas!Y130+1,
IFERROR(INDEX(Datos!$A$2:$K$102,Formulas!Y130,Formulas!Z130+2),"")))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21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IFERROR(INDEX(Datos!$A$2:$K$102,Formulas!AC129,RIGHT(Formulas!AE129)+2),"")))</f>
        <v/>
      </c>
      <c r="AD132" s="121" t="str" cm="1">
        <f t="array" aca="1" ref="AD132" ca="1">IF(OR(Formulas!AE130=0,Formulas!AE130=""),"",HYPERLINK("["&amp;Archivo_Nombre&amp;"]Datos!"&amp;LEFT(SUBSTITUTE(ADDRESS(1,Formulas!AE130+2),"$",""))&amp;Formulas!AD130+1,
IFERROR(INDEX(Datos!$A$2:$K$102,Formulas!AD130,Formulas!AE130+2),"")))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21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IFERROR(INDEX(Datos!$A$2:$K$102,Formulas!AH129,RIGHT(Formulas!AJ129)+2),"")))</f>
        <v/>
      </c>
      <c r="AI132" s="121" t="str" cm="1">
        <f t="array" aca="1" ref="AI132" ca="1">IF(OR(Formulas!AJ130=0,Formulas!AJ130=""),"",HYPERLINK("["&amp;Archivo_Nombre&amp;"]Datos!"&amp;LEFT(SUBSTITUTE(ADDRESS(1,Formulas!AJ130+2),"$",""))&amp;Formulas!AI130+1,
IFERROR(INDEX(Datos!$A$2:$K$102,Formulas!AI130,Formulas!AJ130+2),"")))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21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IFERROR(INDEX(Datos!$A$2:$K$102,Formulas!AM129,RIGHT(Formulas!AO129)+2),"")))</f>
        <v/>
      </c>
      <c r="AN132" s="121" t="str" cm="1">
        <f t="array" aca="1" ref="AN132" ca="1">IF(OR(Formulas!AO130=0,Formulas!AO130=""),"",HYPERLINK("["&amp;Archivo_Nombre&amp;"]Datos!"&amp;LEFT(SUBSTITUTE(ADDRESS(1,Formulas!AO130+2),"$",""))&amp;Formulas!AN130+1,
IFERROR(INDEX(Datos!$A$2:$K$102,Formulas!AN130,Formulas!AO130+2),"")))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21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IFERROR(INDEX(Datos!$A$2:$K$102,Formulas!AR129,RIGHT(Formulas!AT129)+2),"")))</f>
        <v/>
      </c>
      <c r="AS132" s="121" t="str" cm="1">
        <f t="array" aca="1" ref="AS132" ca="1">IF(OR(Formulas!AT130=0,Formulas!AT130=""),"",HYPERLINK("["&amp;Archivo_Nombre&amp;"]Datos!"&amp;LEFT(SUBSTITUTE(ADDRESS(1,Formulas!AT130+2),"$",""))&amp;Formulas!AS130+1,
IFERROR(INDEX(Datos!$A$2:$K$102,Formulas!AS130,Formulas!AT130+2),"")))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21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IFERROR(INDEX(Datos!$A$2:$K$102,Formulas!AW129,RIGHT(Formulas!AY129)+2),"")))</f>
        <v/>
      </c>
      <c r="AX132" s="121" t="str" cm="1">
        <f t="array" aca="1" ref="AX132" ca="1">IF(OR(Formulas!AY130=0,Formulas!AY130=""),"",HYPERLINK("["&amp;Archivo_Nombre&amp;"]Datos!"&amp;LEFT(SUBSTITUTE(ADDRESS(1,Formulas!AY130+2),"$",""))&amp;Formulas!AX130+1,
IFERROR(INDEX(Datos!$A$2:$K$102,Formulas!AX130,Formulas!AY130+2),"")))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21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IFERROR(INDEX(Datos!$A$2:$K$102,Formulas!D130,RIGHT(Formulas!F130)+2),"")))</f>
        <v/>
      </c>
      <c r="E133" s="121" t="str" cm="1">
        <f t="array" aca="1" ref="E133" ca="1">IF(OR(Formulas!F131=0,Formulas!F131=""),"",HYPERLINK("["&amp;Archivo_Nombre&amp;"]Datos!"&amp;LEFT(SUBSTITUTE(ADDRESS(1,Formulas!F131+2),"$",""))&amp;Formulas!E131+1,
IFERROR(INDEX(Datos!$A$2:$K$102,Formulas!E131,Formulas!F131+2),"")))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21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IFERROR(INDEX(Datos!$A$2:$K$102,Formulas!I130,RIGHT(Formulas!K130)+2),"")))</f>
        <v/>
      </c>
      <c r="J133" s="121" t="str" cm="1">
        <f t="array" aca="1" ref="J133" ca="1">IF(OR(Formulas!K131=0,Formulas!K131=""),"",HYPERLINK("["&amp;Archivo_Nombre&amp;"]Datos!"&amp;LEFT(SUBSTITUTE(ADDRESS(1,Formulas!K131+2),"$",""))&amp;Formulas!J131+1,
IFERROR(INDEX(Datos!$A$2:$K$102,Formulas!J131,Formulas!K131+2),"")))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21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IFERROR(INDEX(Datos!$A$2:$K$102,Formulas!N130,RIGHT(Formulas!P130)+2),"")))</f>
        <v/>
      </c>
      <c r="O133" s="121" t="str" cm="1">
        <f t="array" aca="1" ref="O133" ca="1">IF(OR(Formulas!P131=0,Formulas!P131=""),"",HYPERLINK("["&amp;Archivo_Nombre&amp;"]Datos!"&amp;LEFT(SUBSTITUTE(ADDRESS(1,Formulas!P131+2),"$",""))&amp;Formulas!O131+1,
IFERROR(INDEX(Datos!$A$2:$K$102,Formulas!O131,Formulas!P131+2),"")))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21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IFERROR(INDEX(Datos!$A$2:$K$102,Formulas!S130,RIGHT(Formulas!U130)+2),"")))</f>
        <v>Desarrollar historial de versiones visible con opción de ver versiones anteriores del contrato</v>
      </c>
      <c r="T133" s="121" t="e" cm="1">
        <f t="array" aca="1" ref="T133" ca="1">IF(OR(Formulas!U131=0,Formulas!U131=""),"",HYPERLINK("["&amp;Archivo_Nombre&amp;"]Datos!"&amp;LEFT(SUBSTITUTE(ADDRESS(1,Formulas!U131+2),"$",""))&amp;Formulas!T131+1,
IFERROR(INDEX(Datos!$A$2:$K$102,Formulas!T131,Formulas!U131+2),"")))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21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IFERROR(INDEX(Datos!$A$2:$K$102,Formulas!X130,RIGHT(Formulas!Z130)+2),"")))</f>
        <v/>
      </c>
      <c r="Y133" s="121" t="str" cm="1">
        <f t="array" aca="1" ref="Y133" ca="1">IF(OR(Formulas!Z131=0,Formulas!Z131=""),"",HYPERLINK("["&amp;Archivo_Nombre&amp;"]Datos!"&amp;LEFT(SUBSTITUTE(ADDRESS(1,Formulas!Z131+2),"$",""))&amp;Formulas!Y131+1,
IFERROR(INDEX(Datos!$A$2:$K$102,Formulas!Y131,Formulas!Z131+2),"")))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21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IFERROR(INDEX(Datos!$A$2:$K$102,Formulas!AC130,RIGHT(Formulas!AE130)+2),"")))</f>
        <v/>
      </c>
      <c r="AD133" s="121" t="str" cm="1">
        <f t="array" aca="1" ref="AD133" ca="1">IF(OR(Formulas!AE131=0,Formulas!AE131=""),"",HYPERLINK("["&amp;Archivo_Nombre&amp;"]Datos!"&amp;LEFT(SUBSTITUTE(ADDRESS(1,Formulas!AE131+2),"$",""))&amp;Formulas!AD131+1,
IFERROR(INDEX(Datos!$A$2:$K$102,Formulas!AD131,Formulas!AE131+2),"")))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21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IFERROR(INDEX(Datos!$A$2:$K$102,Formulas!AH130,RIGHT(Formulas!AJ130)+2),"")))</f>
        <v/>
      </c>
      <c r="AI133" s="121" t="str" cm="1">
        <f t="array" aca="1" ref="AI133" ca="1">IF(OR(Formulas!AJ131=0,Formulas!AJ131=""),"",HYPERLINK("["&amp;Archivo_Nombre&amp;"]Datos!"&amp;LEFT(SUBSTITUTE(ADDRESS(1,Formulas!AJ131+2),"$",""))&amp;Formulas!AI131+1,
IFERROR(INDEX(Datos!$A$2:$K$102,Formulas!AI131,Formulas!AJ131+2),"")))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21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IFERROR(INDEX(Datos!$A$2:$K$102,Formulas!AM130,RIGHT(Formulas!AO130)+2),"")))</f>
        <v/>
      </c>
      <c r="AN133" s="121" t="str" cm="1">
        <f t="array" aca="1" ref="AN133" ca="1">IF(OR(Formulas!AO131=0,Formulas!AO131=""),"",HYPERLINK("["&amp;Archivo_Nombre&amp;"]Datos!"&amp;LEFT(SUBSTITUTE(ADDRESS(1,Formulas!AO131+2),"$",""))&amp;Formulas!AN131+1,
IFERROR(INDEX(Datos!$A$2:$K$102,Formulas!AN131,Formulas!AO131+2),"")))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21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IFERROR(INDEX(Datos!$A$2:$K$102,Formulas!AR130,RIGHT(Formulas!AT130)+2),"")))</f>
        <v/>
      </c>
      <c r="AS133" s="121" t="str" cm="1">
        <f t="array" aca="1" ref="AS133" ca="1">IF(OR(Formulas!AT131=0,Formulas!AT131=""),"",HYPERLINK("["&amp;Archivo_Nombre&amp;"]Datos!"&amp;LEFT(SUBSTITUTE(ADDRESS(1,Formulas!AT131+2),"$",""))&amp;Formulas!AS131+1,
IFERROR(INDEX(Datos!$A$2:$K$102,Formulas!AS131,Formulas!AT131+2),"")))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21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IFERROR(INDEX(Datos!$A$2:$K$102,Formulas!AW130,RIGHT(Formulas!AY130)+2),"")))</f>
        <v/>
      </c>
      <c r="AX133" s="121" t="str" cm="1">
        <f t="array" aca="1" ref="AX133" ca="1">IF(OR(Formulas!AY131=0,Formulas!AY131=""),"",HYPERLINK("["&amp;Archivo_Nombre&amp;"]Datos!"&amp;LEFT(SUBSTITUTE(ADDRESS(1,Formulas!AY131+2),"$",""))&amp;Formulas!AX131+1,
IFERROR(INDEX(Datos!$A$2:$K$102,Formulas!AX131,Formulas!AY131+2),"")))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21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IFERROR(INDEX(Datos!$A$2:$K$102,Formulas!D131,RIGHT(Formulas!F131)+2),"")))</f>
        <v/>
      </c>
      <c r="E134" s="121" t="str" cm="1">
        <f t="array" aca="1" ref="E134" ca="1">IF(OR(Formulas!F132=0,Formulas!F132=""),"",HYPERLINK("["&amp;Archivo_Nombre&amp;"]Datos!"&amp;LEFT(SUBSTITUTE(ADDRESS(1,Formulas!F132+2),"$",""))&amp;Formulas!E132+1,
IFERROR(INDEX(Datos!$A$2:$K$102,Formulas!E132,Formulas!F132+2),"")))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21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IFERROR(INDEX(Datos!$A$2:$K$102,Formulas!I131,RIGHT(Formulas!K131)+2),"")))</f>
        <v/>
      </c>
      <c r="J134" s="121" t="str" cm="1">
        <f t="array" aca="1" ref="J134" ca="1">IF(OR(Formulas!K132=0,Formulas!K132=""),"",HYPERLINK("["&amp;Archivo_Nombre&amp;"]Datos!"&amp;LEFT(SUBSTITUTE(ADDRESS(1,Formulas!K132+2),"$",""))&amp;Formulas!J132+1,
IFERROR(INDEX(Datos!$A$2:$K$102,Formulas!J132,Formulas!K132+2),"")))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21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IFERROR(INDEX(Datos!$A$2:$K$102,Formulas!N131,RIGHT(Formulas!P131)+2),"")))</f>
        <v/>
      </c>
      <c r="O134" s="121" t="str" cm="1">
        <f t="array" aca="1" ref="O134" ca="1">IF(OR(Formulas!P132=0,Formulas!P132=""),"",HYPERLINK("["&amp;Archivo_Nombre&amp;"]Datos!"&amp;LEFT(SUBSTITUTE(ADDRESS(1,Formulas!P132+2),"$",""))&amp;Formulas!O132+1,
IFERROR(INDEX(Datos!$A$2:$K$102,Formulas!O132,Formulas!P132+2),"")))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21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IFERROR(INDEX(Datos!$A$2:$K$102,Formulas!S131,RIGHT(Formulas!U131)+2),"")))</f>
        <v>45861</v>
      </c>
      <c r="T134" s="121" t="e" cm="1">
        <f t="array" aca="1" ref="T134" ca="1">IF(OR(Formulas!U132=0,Formulas!U132=""),"",HYPERLINK("["&amp;Archivo_Nombre&amp;"]Datos!"&amp;LEFT(SUBSTITUTE(ADDRESS(1,Formulas!U132+2),"$",""))&amp;Formulas!T132+1,
IFERROR(INDEX(Datos!$A$2:$K$102,Formulas!T132,Formulas!U132+2),"")))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21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IFERROR(INDEX(Datos!$A$2:$K$102,Formulas!X131,RIGHT(Formulas!Z131)+2),"")))</f>
        <v/>
      </c>
      <c r="Y134" s="121" t="str" cm="1">
        <f t="array" aca="1" ref="Y134" ca="1">IF(OR(Formulas!Z132=0,Formulas!Z132=""),"",HYPERLINK("["&amp;Archivo_Nombre&amp;"]Datos!"&amp;LEFT(SUBSTITUTE(ADDRESS(1,Formulas!Z132+2),"$",""))&amp;Formulas!Y132+1,
IFERROR(INDEX(Datos!$A$2:$K$102,Formulas!Y132,Formulas!Z132+2),"")))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21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IFERROR(INDEX(Datos!$A$2:$K$102,Formulas!AC131,RIGHT(Formulas!AE131)+2),"")))</f>
        <v/>
      </c>
      <c r="AD134" s="121" t="str" cm="1">
        <f t="array" aca="1" ref="AD134" ca="1">IF(OR(Formulas!AE132=0,Formulas!AE132=""),"",HYPERLINK("["&amp;Archivo_Nombre&amp;"]Datos!"&amp;LEFT(SUBSTITUTE(ADDRESS(1,Formulas!AE132+2),"$",""))&amp;Formulas!AD132+1,
IFERROR(INDEX(Datos!$A$2:$K$102,Formulas!AD132,Formulas!AE132+2),"")))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21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IFERROR(INDEX(Datos!$A$2:$K$102,Formulas!AH131,RIGHT(Formulas!AJ131)+2),"")))</f>
        <v/>
      </c>
      <c r="AI134" s="121" t="str" cm="1">
        <f t="array" aca="1" ref="AI134" ca="1">IF(OR(Formulas!AJ132=0,Formulas!AJ132=""),"",HYPERLINK("["&amp;Archivo_Nombre&amp;"]Datos!"&amp;LEFT(SUBSTITUTE(ADDRESS(1,Formulas!AJ132+2),"$",""))&amp;Formulas!AI132+1,
IFERROR(INDEX(Datos!$A$2:$K$102,Formulas!AI132,Formulas!AJ132+2),"")))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21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IFERROR(INDEX(Datos!$A$2:$K$102,Formulas!AM131,RIGHT(Formulas!AO131)+2),"")))</f>
        <v/>
      </c>
      <c r="AN134" s="121" t="str" cm="1">
        <f t="array" aca="1" ref="AN134" ca="1">IF(OR(Formulas!AO132=0,Formulas!AO132=""),"",HYPERLINK("["&amp;Archivo_Nombre&amp;"]Datos!"&amp;LEFT(SUBSTITUTE(ADDRESS(1,Formulas!AO132+2),"$",""))&amp;Formulas!AN132+1,
IFERROR(INDEX(Datos!$A$2:$K$102,Formulas!AN132,Formulas!AO132+2),"")))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21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IFERROR(INDEX(Datos!$A$2:$K$102,Formulas!AR131,RIGHT(Formulas!AT131)+2),"")))</f>
        <v/>
      </c>
      <c r="AS134" s="121" t="str" cm="1">
        <f t="array" aca="1" ref="AS134" ca="1">IF(OR(Formulas!AT132=0,Formulas!AT132=""),"",HYPERLINK("["&amp;Archivo_Nombre&amp;"]Datos!"&amp;LEFT(SUBSTITUTE(ADDRESS(1,Formulas!AT132+2),"$",""))&amp;Formulas!AS132+1,
IFERROR(INDEX(Datos!$A$2:$K$102,Formulas!AS132,Formulas!AT132+2),"")))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21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IFERROR(INDEX(Datos!$A$2:$K$102,Formulas!AW131,RIGHT(Formulas!AY131)+2),"")))</f>
        <v/>
      </c>
      <c r="AX134" s="121" t="str" cm="1">
        <f t="array" aca="1" ref="AX134" ca="1">IF(OR(Formulas!AY132=0,Formulas!AY132=""),"",HYPERLINK("["&amp;Archivo_Nombre&amp;"]Datos!"&amp;LEFT(SUBSTITUTE(ADDRESS(1,Formulas!AY132+2),"$",""))&amp;Formulas!AX132+1,
IFERROR(INDEX(Datos!$A$2:$K$102,Formulas!AX132,Formulas!AY132+2),"")))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21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IFERROR(INDEX(Datos!$A$2:$K$102,Formulas!D132,RIGHT(Formulas!F132)+2),"")))</f>
        <v/>
      </c>
      <c r="E135" s="121" t="str" cm="1">
        <f t="array" aca="1" ref="E135" ca="1">IF(OR(Formulas!F133=0,Formulas!F133=""),"",HYPERLINK("["&amp;Archivo_Nombre&amp;"]Datos!"&amp;LEFT(SUBSTITUTE(ADDRESS(1,Formulas!F133+2),"$",""))&amp;Formulas!E133+1,
IFERROR(INDEX(Datos!$A$2:$K$102,Formulas!E133,Formulas!F133+2),"")))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21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IFERROR(INDEX(Datos!$A$2:$K$102,Formulas!I132,RIGHT(Formulas!K132)+2),"")))</f>
        <v/>
      </c>
      <c r="J135" s="121" t="str" cm="1">
        <f t="array" aca="1" ref="J135" ca="1">IF(OR(Formulas!K133=0,Formulas!K133=""),"",HYPERLINK("["&amp;Archivo_Nombre&amp;"]Datos!"&amp;LEFT(SUBSTITUTE(ADDRESS(1,Formulas!K133+2),"$",""))&amp;Formulas!J133+1,
IFERROR(INDEX(Datos!$A$2:$K$102,Formulas!J133,Formulas!K133+2),"")))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21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IFERROR(INDEX(Datos!$A$2:$K$102,Formulas!N132,RIGHT(Formulas!P132)+2),"")))</f>
        <v/>
      </c>
      <c r="O135" s="121" t="str" cm="1">
        <f t="array" aca="1" ref="O135" ca="1">IF(OR(Formulas!P133=0,Formulas!P133=""),"",HYPERLINK("["&amp;Archivo_Nombre&amp;"]Datos!"&amp;LEFT(SUBSTITUTE(ADDRESS(1,Formulas!P133+2),"$",""))&amp;Formulas!O133+1,
IFERROR(INDEX(Datos!$A$2:$K$102,Formulas!O133,Formulas!P133+2),"")))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21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IFERROR(INDEX(Datos!$A$2:$K$102,Formulas!S132,RIGHT(Formulas!U132)+2),"")))</f>
        <v>45863</v>
      </c>
      <c r="T135" s="121" t="e" cm="1">
        <f t="array" aca="1" ref="T135" ca="1">IF(OR(Formulas!U133=0,Formulas!U133=""),"",HYPERLINK("["&amp;Archivo_Nombre&amp;"]Datos!"&amp;LEFT(SUBSTITUTE(ADDRESS(1,Formulas!U133+2),"$",""))&amp;Formulas!T133+1,
IFERROR(INDEX(Datos!$A$2:$K$102,Formulas!T133,Formulas!U133+2),"")))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21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IFERROR(INDEX(Datos!$A$2:$K$102,Formulas!X132,RIGHT(Formulas!Z132)+2),"")))</f>
        <v/>
      </c>
      <c r="Y135" s="121" t="str" cm="1">
        <f t="array" aca="1" ref="Y135" ca="1">IF(OR(Formulas!Z133=0,Formulas!Z133=""),"",HYPERLINK("["&amp;Archivo_Nombre&amp;"]Datos!"&amp;LEFT(SUBSTITUTE(ADDRESS(1,Formulas!Z133+2),"$",""))&amp;Formulas!Y133+1,
IFERROR(INDEX(Datos!$A$2:$K$102,Formulas!Y133,Formulas!Z133+2),"")))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21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IFERROR(INDEX(Datos!$A$2:$K$102,Formulas!AC132,RIGHT(Formulas!AE132)+2),"")))</f>
        <v/>
      </c>
      <c r="AD135" s="121" t="str" cm="1">
        <f t="array" aca="1" ref="AD135" ca="1">IF(OR(Formulas!AE133=0,Formulas!AE133=""),"",HYPERLINK("["&amp;Archivo_Nombre&amp;"]Datos!"&amp;LEFT(SUBSTITUTE(ADDRESS(1,Formulas!AE133+2),"$",""))&amp;Formulas!AD133+1,
IFERROR(INDEX(Datos!$A$2:$K$102,Formulas!AD133,Formulas!AE133+2),"")))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21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IFERROR(INDEX(Datos!$A$2:$K$102,Formulas!AH132,RIGHT(Formulas!AJ132)+2),"")))</f>
        <v/>
      </c>
      <c r="AI135" s="121" t="str" cm="1">
        <f t="array" aca="1" ref="AI135" ca="1">IF(OR(Formulas!AJ133=0,Formulas!AJ133=""),"",HYPERLINK("["&amp;Archivo_Nombre&amp;"]Datos!"&amp;LEFT(SUBSTITUTE(ADDRESS(1,Formulas!AJ133+2),"$",""))&amp;Formulas!AI133+1,
IFERROR(INDEX(Datos!$A$2:$K$102,Formulas!AI133,Formulas!AJ133+2),"")))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21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IFERROR(INDEX(Datos!$A$2:$K$102,Formulas!AM132,RIGHT(Formulas!AO132)+2),"")))</f>
        <v/>
      </c>
      <c r="AN135" s="121" t="str" cm="1">
        <f t="array" aca="1" ref="AN135" ca="1">IF(OR(Formulas!AO133=0,Formulas!AO133=""),"",HYPERLINK("["&amp;Archivo_Nombre&amp;"]Datos!"&amp;LEFT(SUBSTITUTE(ADDRESS(1,Formulas!AO133+2),"$",""))&amp;Formulas!AN133+1,
IFERROR(INDEX(Datos!$A$2:$K$102,Formulas!AN133,Formulas!AO133+2),"")))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21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IFERROR(INDEX(Datos!$A$2:$K$102,Formulas!AR132,RIGHT(Formulas!AT132)+2),"")))</f>
        <v/>
      </c>
      <c r="AS135" s="121" t="str" cm="1">
        <f t="array" aca="1" ref="AS135" ca="1">IF(OR(Formulas!AT133=0,Formulas!AT133=""),"",HYPERLINK("["&amp;Archivo_Nombre&amp;"]Datos!"&amp;LEFT(SUBSTITUTE(ADDRESS(1,Formulas!AT133+2),"$",""))&amp;Formulas!AS133+1,
IFERROR(INDEX(Datos!$A$2:$K$102,Formulas!AS133,Formulas!AT133+2),"")))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21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IFERROR(INDEX(Datos!$A$2:$K$102,Formulas!AW132,RIGHT(Formulas!AY132)+2),"")))</f>
        <v/>
      </c>
      <c r="AX135" s="121" t="str" cm="1">
        <f t="array" aca="1" ref="AX135" ca="1">IF(OR(Formulas!AY133=0,Formulas!AY133=""),"",HYPERLINK("["&amp;Archivo_Nombre&amp;"]Datos!"&amp;LEFT(SUBSTITUTE(ADDRESS(1,Formulas!AY133+2),"$",""))&amp;Formulas!AX133+1,
IFERROR(INDEX(Datos!$A$2:$K$102,Formulas!AX133,Formulas!AY133+2),"")))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21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IFERROR(INDEX(Datos!$A$2:$K$102,Formulas!D133,RIGHT(Formulas!F133)+2),"")))</f>
        <v/>
      </c>
      <c r="E136" s="121" t="str" cm="1">
        <f t="array" aca="1" ref="E136" ca="1">IF(OR(Formulas!F134=0,Formulas!F134=""),"",HYPERLINK("["&amp;Archivo_Nombre&amp;"]Datos!"&amp;LEFT(SUBSTITUTE(ADDRESS(1,Formulas!F134+2),"$",""))&amp;Formulas!E134+1,
IFERROR(INDEX(Datos!$A$2:$K$102,Formulas!E134,Formulas!F134+2),"")))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21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IFERROR(INDEX(Datos!$A$2:$K$102,Formulas!I133,RIGHT(Formulas!K133)+2),"")))</f>
        <v/>
      </c>
      <c r="J136" s="121" t="str" cm="1">
        <f t="array" aca="1" ref="J136" ca="1">IF(OR(Formulas!K134=0,Formulas!K134=""),"",HYPERLINK("["&amp;Archivo_Nombre&amp;"]Datos!"&amp;LEFT(SUBSTITUTE(ADDRESS(1,Formulas!K134+2),"$",""))&amp;Formulas!J134+1,
IFERROR(INDEX(Datos!$A$2:$K$102,Formulas!J134,Formulas!K134+2),"")))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21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IFERROR(INDEX(Datos!$A$2:$K$102,Formulas!N133,RIGHT(Formulas!P133)+2),"")))</f>
        <v/>
      </c>
      <c r="O136" s="121" t="str" cm="1">
        <f t="array" aca="1" ref="O136" ca="1">IF(OR(Formulas!P134=0,Formulas!P134=""),"",HYPERLINK("["&amp;Archivo_Nombre&amp;"]Datos!"&amp;LEFT(SUBSTITUTE(ADDRESS(1,Formulas!P134+2),"$",""))&amp;Formulas!O134+1,
IFERROR(INDEX(Datos!$A$2:$K$102,Formulas!O134,Formulas!P134+2),"")))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21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IFERROR(INDEX(Datos!$A$2:$K$102,Formulas!S133,RIGHT(Formulas!U133)+2),"")))</f>
        <v>45863</v>
      </c>
      <c r="T136" s="121" t="e" cm="1">
        <f t="array" aca="1" ref="T136" ca="1">IF(OR(Formulas!U134=0,Formulas!U134=""),"",HYPERLINK("["&amp;Archivo_Nombre&amp;"]Datos!"&amp;LEFT(SUBSTITUTE(ADDRESS(1,Formulas!U134+2),"$",""))&amp;Formulas!T134+1,
IFERROR(INDEX(Datos!$A$2:$K$102,Formulas!T134,Formulas!U134+2),"")))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21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IFERROR(INDEX(Datos!$A$2:$K$102,Formulas!X133,RIGHT(Formulas!Z133)+2),"")))</f>
        <v/>
      </c>
      <c r="Y136" s="121" t="str" cm="1">
        <f t="array" aca="1" ref="Y136" ca="1">IF(OR(Formulas!Z134=0,Formulas!Z134=""),"",HYPERLINK("["&amp;Archivo_Nombre&amp;"]Datos!"&amp;LEFT(SUBSTITUTE(ADDRESS(1,Formulas!Z134+2),"$",""))&amp;Formulas!Y134+1,
IFERROR(INDEX(Datos!$A$2:$K$102,Formulas!Y134,Formulas!Z134+2),"")))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21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IFERROR(INDEX(Datos!$A$2:$K$102,Formulas!AC133,RIGHT(Formulas!AE133)+2),"")))</f>
        <v/>
      </c>
      <c r="AD136" s="121" t="str" cm="1">
        <f t="array" aca="1" ref="AD136" ca="1">IF(OR(Formulas!AE134=0,Formulas!AE134=""),"",HYPERLINK("["&amp;Archivo_Nombre&amp;"]Datos!"&amp;LEFT(SUBSTITUTE(ADDRESS(1,Formulas!AE134+2),"$",""))&amp;Formulas!AD134+1,
IFERROR(INDEX(Datos!$A$2:$K$102,Formulas!AD134,Formulas!AE134+2),"")))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21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IFERROR(INDEX(Datos!$A$2:$K$102,Formulas!AH133,RIGHT(Formulas!AJ133)+2),"")))</f>
        <v/>
      </c>
      <c r="AI136" s="121" t="str" cm="1">
        <f t="array" aca="1" ref="AI136" ca="1">IF(OR(Formulas!AJ134=0,Formulas!AJ134=""),"",HYPERLINK("["&amp;Archivo_Nombre&amp;"]Datos!"&amp;LEFT(SUBSTITUTE(ADDRESS(1,Formulas!AJ134+2),"$",""))&amp;Formulas!AI134+1,
IFERROR(INDEX(Datos!$A$2:$K$102,Formulas!AI134,Formulas!AJ134+2),"")))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21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IFERROR(INDEX(Datos!$A$2:$K$102,Formulas!AM133,RIGHT(Formulas!AO133)+2),"")))</f>
        <v/>
      </c>
      <c r="AN136" s="121" t="str" cm="1">
        <f t="array" aca="1" ref="AN136" ca="1">IF(OR(Formulas!AO134=0,Formulas!AO134=""),"",HYPERLINK("["&amp;Archivo_Nombre&amp;"]Datos!"&amp;LEFT(SUBSTITUTE(ADDRESS(1,Formulas!AO134+2),"$",""))&amp;Formulas!AN134+1,
IFERROR(INDEX(Datos!$A$2:$K$102,Formulas!AN134,Formulas!AO134+2),"")))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21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IFERROR(INDEX(Datos!$A$2:$K$102,Formulas!AR133,RIGHT(Formulas!AT133)+2),"")))</f>
        <v/>
      </c>
      <c r="AS136" s="121" t="str" cm="1">
        <f t="array" aca="1" ref="AS136" ca="1">IF(OR(Formulas!AT134=0,Formulas!AT134=""),"",HYPERLINK("["&amp;Archivo_Nombre&amp;"]Datos!"&amp;LEFT(SUBSTITUTE(ADDRESS(1,Formulas!AT134+2),"$",""))&amp;Formulas!AS134+1,
IFERROR(INDEX(Datos!$A$2:$K$102,Formulas!AS134,Formulas!AT134+2),"")))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21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IFERROR(INDEX(Datos!$A$2:$K$102,Formulas!AW133,RIGHT(Formulas!AY133)+2),"")))</f>
        <v/>
      </c>
      <c r="AX136" s="121" t="str" cm="1">
        <f t="array" aca="1" ref="AX136" ca="1">IF(OR(Formulas!AY134=0,Formulas!AY134=""),"",HYPERLINK("["&amp;Archivo_Nombre&amp;"]Datos!"&amp;LEFT(SUBSTITUTE(ADDRESS(1,Formulas!AY134+2),"$",""))&amp;Formulas!AX134+1,
IFERROR(INDEX(Datos!$A$2:$K$102,Formulas!AX134,Formulas!AY134+2),"")))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21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IFERROR(INDEX(Datos!$A$2:$K$102,Formulas!D134,RIGHT(Formulas!F134)+2),"")))</f>
        <v/>
      </c>
      <c r="E137" s="121" t="str" cm="1">
        <f t="array" aca="1" ref="E137" ca="1">IF(OR(Formulas!F135=0,Formulas!F135=""),"",HYPERLINK("["&amp;Archivo_Nombre&amp;"]Datos!"&amp;LEFT(SUBSTITUTE(ADDRESS(1,Formulas!F135+2),"$",""))&amp;Formulas!E135+1,
IFERROR(INDEX(Datos!$A$2:$K$102,Formulas!E135,Formulas!F135+2),"")))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21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IFERROR(INDEX(Datos!$A$2:$K$102,Formulas!I134,RIGHT(Formulas!K134)+2),"")))</f>
        <v/>
      </c>
      <c r="J137" s="121" t="str" cm="1">
        <f t="array" aca="1" ref="J137" ca="1">IF(OR(Formulas!K135=0,Formulas!K135=""),"",HYPERLINK("["&amp;Archivo_Nombre&amp;"]Datos!"&amp;LEFT(SUBSTITUTE(ADDRESS(1,Formulas!K135+2),"$",""))&amp;Formulas!J135+1,
IFERROR(INDEX(Datos!$A$2:$K$102,Formulas!J135,Formulas!K135+2),"")))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21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IFERROR(INDEX(Datos!$A$2:$K$102,Formulas!N134,RIGHT(Formulas!P134)+2),"")))</f>
        <v/>
      </c>
      <c r="O137" s="121" t="str" cm="1">
        <f t="array" aca="1" ref="O137" ca="1">IF(OR(Formulas!P135=0,Formulas!P135=""),"",HYPERLINK("["&amp;Archivo_Nombre&amp;"]Datos!"&amp;LEFT(SUBSTITUTE(ADDRESS(1,Formulas!P135+2),"$",""))&amp;Formulas!O135+1,
IFERROR(INDEX(Datos!$A$2:$K$102,Formulas!O135,Formulas!P135+2),"")))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21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IFERROR(INDEX(Datos!$A$2:$K$102,Formulas!S134,RIGHT(Formulas!U134)+2),"")))</f>
        <v>3 días</v>
      </c>
      <c r="T137" s="121" t="e" cm="1">
        <f t="array" aca="1" ref="T137" ca="1">IF(OR(Formulas!U135=0,Formulas!U135=""),"",HYPERLINK("["&amp;Archivo_Nombre&amp;"]Datos!"&amp;LEFT(SUBSTITUTE(ADDRESS(1,Formulas!U135+2),"$",""))&amp;Formulas!T135+1,
IFERROR(INDEX(Datos!$A$2:$K$102,Formulas!T135,Formulas!U135+2),"")))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21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IFERROR(INDEX(Datos!$A$2:$K$102,Formulas!X134,RIGHT(Formulas!Z134)+2),"")))</f>
        <v/>
      </c>
      <c r="Y137" s="121" t="str" cm="1">
        <f t="array" aca="1" ref="Y137" ca="1">IF(OR(Formulas!Z135=0,Formulas!Z135=""),"",HYPERLINK("["&amp;Archivo_Nombre&amp;"]Datos!"&amp;LEFT(SUBSTITUTE(ADDRESS(1,Formulas!Z135+2),"$",""))&amp;Formulas!Y135+1,
IFERROR(INDEX(Datos!$A$2:$K$102,Formulas!Y135,Formulas!Z135+2),"")))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21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IFERROR(INDEX(Datos!$A$2:$K$102,Formulas!AC134,RIGHT(Formulas!AE134)+2),"")))</f>
        <v/>
      </c>
      <c r="AD137" s="121" t="str" cm="1">
        <f t="array" aca="1" ref="AD137" ca="1">IF(OR(Formulas!AE135=0,Formulas!AE135=""),"",HYPERLINK("["&amp;Archivo_Nombre&amp;"]Datos!"&amp;LEFT(SUBSTITUTE(ADDRESS(1,Formulas!AE135+2),"$",""))&amp;Formulas!AD135+1,
IFERROR(INDEX(Datos!$A$2:$K$102,Formulas!AD135,Formulas!AE135+2),"")))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21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IFERROR(INDEX(Datos!$A$2:$K$102,Formulas!AH134,RIGHT(Formulas!AJ134)+2),"")))</f>
        <v/>
      </c>
      <c r="AI137" s="121" t="str" cm="1">
        <f t="array" aca="1" ref="AI137" ca="1">IF(OR(Formulas!AJ135=0,Formulas!AJ135=""),"",HYPERLINK("["&amp;Archivo_Nombre&amp;"]Datos!"&amp;LEFT(SUBSTITUTE(ADDRESS(1,Formulas!AJ135+2),"$",""))&amp;Formulas!AI135+1,
IFERROR(INDEX(Datos!$A$2:$K$102,Formulas!AI135,Formulas!AJ135+2),"")))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21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IFERROR(INDEX(Datos!$A$2:$K$102,Formulas!AM134,RIGHT(Formulas!AO134)+2),"")))</f>
        <v/>
      </c>
      <c r="AN137" s="121" t="str" cm="1">
        <f t="array" aca="1" ref="AN137" ca="1">IF(OR(Formulas!AO135=0,Formulas!AO135=""),"",HYPERLINK("["&amp;Archivo_Nombre&amp;"]Datos!"&amp;LEFT(SUBSTITUTE(ADDRESS(1,Formulas!AO135+2),"$",""))&amp;Formulas!AN135+1,
IFERROR(INDEX(Datos!$A$2:$K$102,Formulas!AN135,Formulas!AO135+2),"")))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21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IFERROR(INDEX(Datos!$A$2:$K$102,Formulas!AR134,RIGHT(Formulas!AT134)+2),"")))</f>
        <v/>
      </c>
      <c r="AS137" s="121" t="str" cm="1">
        <f t="array" aca="1" ref="AS137" ca="1">IF(OR(Formulas!AT135=0,Formulas!AT135=""),"",HYPERLINK("["&amp;Archivo_Nombre&amp;"]Datos!"&amp;LEFT(SUBSTITUTE(ADDRESS(1,Formulas!AT135+2),"$",""))&amp;Formulas!AS135+1,
IFERROR(INDEX(Datos!$A$2:$K$102,Formulas!AS135,Formulas!AT135+2),"")))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21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IFERROR(INDEX(Datos!$A$2:$K$102,Formulas!AW134,RIGHT(Formulas!AY134)+2),"")))</f>
        <v/>
      </c>
      <c r="AX137" s="121" t="str" cm="1">
        <f t="array" aca="1" ref="AX137" ca="1">IF(OR(Formulas!AY135=0,Formulas!AY135=""),"",HYPERLINK("["&amp;Archivo_Nombre&amp;"]Datos!"&amp;LEFT(SUBSTITUTE(ADDRESS(1,Formulas!AY135+2),"$",""))&amp;Formulas!AX135+1,
IFERROR(INDEX(Datos!$A$2:$K$102,Formulas!AX135,Formulas!AY135+2),"")))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21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IFERROR(INDEX(Datos!$A$2:$K$102,Formulas!D135,RIGHT(Formulas!F135)+2),"")))</f>
        <v/>
      </c>
      <c r="E138" s="121" t="str" cm="1">
        <f t="array" aca="1" ref="E138" ca="1">IF(OR(Formulas!F136=0,Formulas!F136=""),"",HYPERLINK("["&amp;Archivo_Nombre&amp;"]Datos!"&amp;LEFT(SUBSTITUTE(ADDRESS(1,Formulas!F136+2),"$",""))&amp;Formulas!E136+1,
IFERROR(INDEX(Datos!$A$2:$K$102,Formulas!E136,Formulas!F136+2),"")))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21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IFERROR(INDEX(Datos!$A$2:$K$102,Formulas!I135,RIGHT(Formulas!K135)+2),"")))</f>
        <v/>
      </c>
      <c r="J138" s="121" t="str" cm="1">
        <f t="array" aca="1" ref="J138" ca="1">IF(OR(Formulas!K136=0,Formulas!K136=""),"",HYPERLINK("["&amp;Archivo_Nombre&amp;"]Datos!"&amp;LEFT(SUBSTITUTE(ADDRESS(1,Formulas!K136+2),"$",""))&amp;Formulas!J136+1,
IFERROR(INDEX(Datos!$A$2:$K$102,Formulas!J136,Formulas!K136+2),"")))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21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IFERROR(INDEX(Datos!$A$2:$K$102,Formulas!N135,RIGHT(Formulas!P135)+2),"")))</f>
        <v/>
      </c>
      <c r="O138" s="121" t="str" cm="1">
        <f t="array" aca="1" ref="O138" ca="1">IF(OR(Formulas!P136=0,Formulas!P136=""),"",HYPERLINK("["&amp;Archivo_Nombre&amp;"]Datos!"&amp;LEFT(SUBSTITUTE(ADDRESS(1,Formulas!P136+2),"$",""))&amp;Formulas!O136+1,
IFERROR(INDEX(Datos!$A$2:$K$102,Formulas!O136,Formulas!P136+2),"")))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21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IFERROR(INDEX(Datos!$A$2:$K$102,Formulas!S135,RIGHT(Formulas!U135)+2),"")))</f>
        <v>0 días</v>
      </c>
      <c r="T138" s="121" t="e" cm="1">
        <f t="array" aca="1" ref="T138" ca="1">IF(OR(Formulas!U136=0,Formulas!U136=""),"",HYPERLINK("["&amp;Archivo_Nombre&amp;"]Datos!"&amp;LEFT(SUBSTITUTE(ADDRESS(1,Formulas!U136+2),"$",""))&amp;Formulas!T136+1,
IFERROR(INDEX(Datos!$A$2:$K$102,Formulas!T136,Formulas!U136+2),"")))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21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IFERROR(INDEX(Datos!$A$2:$K$102,Formulas!X135,RIGHT(Formulas!Z135)+2),"")))</f>
        <v/>
      </c>
      <c r="Y138" s="121" t="str" cm="1">
        <f t="array" aca="1" ref="Y138" ca="1">IF(OR(Formulas!Z136=0,Formulas!Z136=""),"",HYPERLINK("["&amp;Archivo_Nombre&amp;"]Datos!"&amp;LEFT(SUBSTITUTE(ADDRESS(1,Formulas!Z136+2),"$",""))&amp;Formulas!Y136+1,
IFERROR(INDEX(Datos!$A$2:$K$102,Formulas!Y136,Formulas!Z136+2),"")))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21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IFERROR(INDEX(Datos!$A$2:$K$102,Formulas!AC135,RIGHT(Formulas!AE135)+2),"")))</f>
        <v/>
      </c>
      <c r="AD138" s="121" t="str" cm="1">
        <f t="array" aca="1" ref="AD138" ca="1">IF(OR(Formulas!AE136=0,Formulas!AE136=""),"",HYPERLINK("["&amp;Archivo_Nombre&amp;"]Datos!"&amp;LEFT(SUBSTITUTE(ADDRESS(1,Formulas!AE136+2),"$",""))&amp;Formulas!AD136+1,
IFERROR(INDEX(Datos!$A$2:$K$102,Formulas!AD136,Formulas!AE136+2),"")))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21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IFERROR(INDEX(Datos!$A$2:$K$102,Formulas!AH135,RIGHT(Formulas!AJ135)+2),"")))</f>
        <v/>
      </c>
      <c r="AI138" s="121" t="str" cm="1">
        <f t="array" aca="1" ref="AI138" ca="1">IF(OR(Formulas!AJ136=0,Formulas!AJ136=""),"",HYPERLINK("["&amp;Archivo_Nombre&amp;"]Datos!"&amp;LEFT(SUBSTITUTE(ADDRESS(1,Formulas!AJ136+2),"$",""))&amp;Formulas!AI136+1,
IFERROR(INDEX(Datos!$A$2:$K$102,Formulas!AI136,Formulas!AJ136+2),"")))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21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IFERROR(INDEX(Datos!$A$2:$K$102,Formulas!AM135,RIGHT(Formulas!AO135)+2),"")))</f>
        <v/>
      </c>
      <c r="AN138" s="121" t="str" cm="1">
        <f t="array" aca="1" ref="AN138" ca="1">IF(OR(Formulas!AO136=0,Formulas!AO136=""),"",HYPERLINK("["&amp;Archivo_Nombre&amp;"]Datos!"&amp;LEFT(SUBSTITUTE(ADDRESS(1,Formulas!AO136+2),"$",""))&amp;Formulas!AN136+1,
IFERROR(INDEX(Datos!$A$2:$K$102,Formulas!AN136,Formulas!AO136+2),"")))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21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IFERROR(INDEX(Datos!$A$2:$K$102,Formulas!AR135,RIGHT(Formulas!AT135)+2),"")))</f>
        <v/>
      </c>
      <c r="AS138" s="121" t="str" cm="1">
        <f t="array" aca="1" ref="AS138" ca="1">IF(OR(Formulas!AT136=0,Formulas!AT136=""),"",HYPERLINK("["&amp;Archivo_Nombre&amp;"]Datos!"&amp;LEFT(SUBSTITUTE(ADDRESS(1,Formulas!AT136+2),"$",""))&amp;Formulas!AS136+1,
IFERROR(INDEX(Datos!$A$2:$K$102,Formulas!AS136,Formulas!AT136+2),"")))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21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IFERROR(INDEX(Datos!$A$2:$K$102,Formulas!AW135,RIGHT(Formulas!AY135)+2),"")))</f>
        <v/>
      </c>
      <c r="AX138" s="121" t="str" cm="1">
        <f t="array" aca="1" ref="AX138" ca="1">IF(OR(Formulas!AY136=0,Formulas!AY136=""),"",HYPERLINK("["&amp;Archivo_Nombre&amp;"]Datos!"&amp;LEFT(SUBSTITUTE(ADDRESS(1,Formulas!AY136+2),"$",""))&amp;Formulas!AX136+1,
IFERROR(INDEX(Datos!$A$2:$K$102,Formulas!AX136,Formulas!AY136+2),"")))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21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IFERROR(INDEX(Datos!$A$2:$K$102,Formulas!D136,RIGHT(Formulas!F136)+2),"")))</f>
        <v/>
      </c>
      <c r="E139" s="121" t="str" cm="1">
        <f t="array" aca="1" ref="E139" ca="1">IF(OR(Formulas!F137=0,Formulas!F137=""),"",HYPERLINK("["&amp;Archivo_Nombre&amp;"]Datos!"&amp;LEFT(SUBSTITUTE(ADDRESS(1,Formulas!F137+2),"$",""))&amp;Formulas!E137+1,
IFERROR(INDEX(Datos!$A$2:$K$102,Formulas!E137,Formulas!F137+2),"")))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21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IFERROR(INDEX(Datos!$A$2:$K$102,Formulas!I136,RIGHT(Formulas!K136)+2),"")))</f>
        <v/>
      </c>
      <c r="J139" s="121" t="str" cm="1">
        <f t="array" aca="1" ref="J139" ca="1">IF(OR(Formulas!K137=0,Formulas!K137=""),"",HYPERLINK("["&amp;Archivo_Nombre&amp;"]Datos!"&amp;LEFT(SUBSTITUTE(ADDRESS(1,Formulas!K137+2),"$",""))&amp;Formulas!J137+1,
IFERROR(INDEX(Datos!$A$2:$K$102,Formulas!J137,Formulas!K137+2),"")))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21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IFERROR(INDEX(Datos!$A$2:$K$102,Formulas!N136,RIGHT(Formulas!P136)+2),"")))</f>
        <v/>
      </c>
      <c r="O139" s="121" t="str" cm="1">
        <f t="array" aca="1" ref="O139" ca="1">IF(OR(Formulas!P137=0,Formulas!P137=""),"",HYPERLINK("["&amp;Archivo_Nombre&amp;"]Datos!"&amp;LEFT(SUBSTITUTE(ADDRESS(1,Formulas!P137+2),"$",""))&amp;Formulas!O137+1,
IFERROR(INDEX(Datos!$A$2:$K$102,Formulas!O137,Formulas!P137+2),"")))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21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IFERROR(INDEX(Datos!$A$2:$K$102,Formulas!S136,RIGHT(Formulas!U136)+2),"")))</f>
        <v>Paulina Quishpe</v>
      </c>
      <c r="T139" s="121" t="str" cm="1">
        <f t="array" aca="1" ref="T139" ca="1">IF(OR(Formulas!U137=0,Formulas!U137=""),"",HYPERLINK("["&amp;Archivo_Nombre&amp;"]Datos!"&amp;LEFT(SUBSTITUTE(ADDRESS(1,Formulas!U137+2),"$",""))&amp;Formulas!T137+1,
IFERROR(INDEX(Datos!$A$2:$K$102,Formulas!T137,Formulas!U137+2),"")))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21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IFERROR(INDEX(Datos!$A$2:$K$102,Formulas!X136,RIGHT(Formulas!Z136)+2),"")))</f>
        <v/>
      </c>
      <c r="Y139" s="121" t="str" cm="1">
        <f t="array" aca="1" ref="Y139" ca="1">IF(OR(Formulas!Z137=0,Formulas!Z137=""),"",HYPERLINK("["&amp;Archivo_Nombre&amp;"]Datos!"&amp;LEFT(SUBSTITUTE(ADDRESS(1,Formulas!Z137+2),"$",""))&amp;Formulas!Y137+1,
IFERROR(INDEX(Datos!$A$2:$K$102,Formulas!Y137,Formulas!Z137+2),"")))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21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IFERROR(INDEX(Datos!$A$2:$K$102,Formulas!AC136,RIGHT(Formulas!AE136)+2),"")))</f>
        <v/>
      </c>
      <c r="AD139" s="121" t="str" cm="1">
        <f t="array" aca="1" ref="AD139" ca="1">IF(OR(Formulas!AE137=0,Formulas!AE137=""),"",HYPERLINK("["&amp;Archivo_Nombre&amp;"]Datos!"&amp;LEFT(SUBSTITUTE(ADDRESS(1,Formulas!AE137+2),"$",""))&amp;Formulas!AD137+1,
IFERROR(INDEX(Datos!$A$2:$K$102,Formulas!AD137,Formulas!AE137+2),"")))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21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IFERROR(INDEX(Datos!$A$2:$K$102,Formulas!AH136,RIGHT(Formulas!AJ136)+2),"")))</f>
        <v/>
      </c>
      <c r="AI139" s="121" t="str" cm="1">
        <f t="array" aca="1" ref="AI139" ca="1">IF(OR(Formulas!AJ137=0,Formulas!AJ137=""),"",HYPERLINK("["&amp;Archivo_Nombre&amp;"]Datos!"&amp;LEFT(SUBSTITUTE(ADDRESS(1,Formulas!AJ137+2),"$",""))&amp;Formulas!AI137+1,
IFERROR(INDEX(Datos!$A$2:$K$102,Formulas!AI137,Formulas!AJ137+2),"")))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21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IFERROR(INDEX(Datos!$A$2:$K$102,Formulas!AM136,RIGHT(Formulas!AO136)+2),"")))</f>
        <v/>
      </c>
      <c r="AN139" s="121" t="str" cm="1">
        <f t="array" aca="1" ref="AN139" ca="1">IF(OR(Formulas!AO137=0,Formulas!AO137=""),"",HYPERLINK("["&amp;Archivo_Nombre&amp;"]Datos!"&amp;LEFT(SUBSTITUTE(ADDRESS(1,Formulas!AO137+2),"$",""))&amp;Formulas!AN137+1,
IFERROR(INDEX(Datos!$A$2:$K$102,Formulas!AN137,Formulas!AO137+2),"")))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21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IFERROR(INDEX(Datos!$A$2:$K$102,Formulas!AR136,RIGHT(Formulas!AT136)+2),"")))</f>
        <v/>
      </c>
      <c r="AS139" s="121" t="str" cm="1">
        <f t="array" aca="1" ref="AS139" ca="1">IF(OR(Formulas!AT137=0,Formulas!AT137=""),"",HYPERLINK("["&amp;Archivo_Nombre&amp;"]Datos!"&amp;LEFT(SUBSTITUTE(ADDRESS(1,Formulas!AT137+2),"$",""))&amp;Formulas!AS137+1,
IFERROR(INDEX(Datos!$A$2:$K$102,Formulas!AS137,Formulas!AT137+2),"")))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21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IFERROR(INDEX(Datos!$A$2:$K$102,Formulas!AW136,RIGHT(Formulas!AY136)+2),"")))</f>
        <v/>
      </c>
      <c r="AX139" s="121" t="str" cm="1">
        <f t="array" aca="1" ref="AX139" ca="1">IF(OR(Formulas!AY137=0,Formulas!AY137=""),"",HYPERLINK("["&amp;Archivo_Nombre&amp;"]Datos!"&amp;LEFT(SUBSTITUTE(ADDRESS(1,Formulas!AY137+2),"$",""))&amp;Formulas!AX137+1,
IFERROR(INDEX(Datos!$A$2:$K$102,Formulas!AX137,Formulas!AY137+2),"")))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21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IFERROR(INDEX(Datos!$A$2:$K$102,Formulas!D137,RIGHT(Formulas!F137)+2),"")))</f>
        <v/>
      </c>
      <c r="E140" s="121" t="str" cm="1">
        <f t="array" aca="1" ref="E140" ca="1">IF(OR(Formulas!F138=0,Formulas!F138=""),"",HYPERLINK("["&amp;Archivo_Nombre&amp;"]Datos!"&amp;LEFT(SUBSTITUTE(ADDRESS(1,Formulas!F138+2),"$",""))&amp;Formulas!E138+1,
IFERROR(INDEX(Datos!$A$2:$K$102,Formulas!E138,Formulas!F138+2),"")))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21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IFERROR(INDEX(Datos!$A$2:$K$102,Formulas!I137,RIGHT(Formulas!K137)+2),"")))</f>
        <v/>
      </c>
      <c r="J140" s="121" t="str" cm="1">
        <f t="array" aca="1" ref="J140" ca="1">IF(OR(Formulas!K138=0,Formulas!K138=""),"",HYPERLINK("["&amp;Archivo_Nombre&amp;"]Datos!"&amp;LEFT(SUBSTITUTE(ADDRESS(1,Formulas!K138+2),"$",""))&amp;Formulas!J138+1,
IFERROR(INDEX(Datos!$A$2:$K$102,Formulas!J138,Formulas!K138+2),"")))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21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IFERROR(INDEX(Datos!$A$2:$K$102,Formulas!N137,RIGHT(Formulas!P137)+2),"")))</f>
        <v/>
      </c>
      <c r="O140" s="121" t="str" cm="1">
        <f t="array" aca="1" ref="O140" ca="1">IF(OR(Formulas!P138=0,Formulas!P138=""),"",HYPERLINK("["&amp;Archivo_Nombre&amp;"]Datos!"&amp;LEFT(SUBSTITUTE(ADDRESS(1,Formulas!P138+2),"$",""))&amp;Formulas!O138+1,
IFERROR(INDEX(Datos!$A$2:$K$102,Formulas!O138,Formulas!P138+2),"")))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21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IFERROR(INDEX(Datos!$A$2:$K$102,Formulas!S137,RIGHT(Formulas!U137)+2),"")))</f>
        <v/>
      </c>
      <c r="T140" s="121" t="e" cm="1">
        <f t="array" aca="1" ref="T140" ca="1">IF(OR(Formulas!U138=0,Formulas!U138=""),"",HYPERLINK("["&amp;Archivo_Nombre&amp;"]Datos!"&amp;LEFT(SUBSTITUTE(ADDRESS(1,Formulas!U138+2),"$",""))&amp;Formulas!T138+1,
IFERROR(INDEX(Datos!$A$2:$K$102,Formulas!T138,Formulas!U138+2),"")))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21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IFERROR(INDEX(Datos!$A$2:$K$102,Formulas!X137,RIGHT(Formulas!Z137)+2),"")))</f>
        <v/>
      </c>
      <c r="Y140" s="121" t="str" cm="1">
        <f t="array" aca="1" ref="Y140" ca="1">IF(OR(Formulas!Z138=0,Formulas!Z138=""),"",HYPERLINK("["&amp;Archivo_Nombre&amp;"]Datos!"&amp;LEFT(SUBSTITUTE(ADDRESS(1,Formulas!Z138+2),"$",""))&amp;Formulas!Y138+1,
IFERROR(INDEX(Datos!$A$2:$K$102,Formulas!Y138,Formulas!Z138+2),"")))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21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IFERROR(INDEX(Datos!$A$2:$K$102,Formulas!AC137,RIGHT(Formulas!AE137)+2),"")))</f>
        <v/>
      </c>
      <c r="AD140" s="121" t="str" cm="1">
        <f t="array" aca="1" ref="AD140" ca="1">IF(OR(Formulas!AE138=0,Formulas!AE138=""),"",HYPERLINK("["&amp;Archivo_Nombre&amp;"]Datos!"&amp;LEFT(SUBSTITUTE(ADDRESS(1,Formulas!AE138+2),"$",""))&amp;Formulas!AD138+1,
IFERROR(INDEX(Datos!$A$2:$K$102,Formulas!AD138,Formulas!AE138+2),"")))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21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IFERROR(INDEX(Datos!$A$2:$K$102,Formulas!AH137,RIGHT(Formulas!AJ137)+2),"")))</f>
        <v/>
      </c>
      <c r="AI140" s="121" t="str" cm="1">
        <f t="array" aca="1" ref="AI140" ca="1">IF(OR(Formulas!AJ138=0,Formulas!AJ138=""),"",HYPERLINK("["&amp;Archivo_Nombre&amp;"]Datos!"&amp;LEFT(SUBSTITUTE(ADDRESS(1,Formulas!AJ138+2),"$",""))&amp;Formulas!AI138+1,
IFERROR(INDEX(Datos!$A$2:$K$102,Formulas!AI138,Formulas!AJ138+2),"")))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21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IFERROR(INDEX(Datos!$A$2:$K$102,Formulas!AM137,RIGHT(Formulas!AO137)+2),"")))</f>
        <v/>
      </c>
      <c r="AN140" s="121" t="str" cm="1">
        <f t="array" aca="1" ref="AN140" ca="1">IF(OR(Formulas!AO138=0,Formulas!AO138=""),"",HYPERLINK("["&amp;Archivo_Nombre&amp;"]Datos!"&amp;LEFT(SUBSTITUTE(ADDRESS(1,Formulas!AO138+2),"$",""))&amp;Formulas!AN138+1,
IFERROR(INDEX(Datos!$A$2:$K$102,Formulas!AN138,Formulas!AO138+2),"")))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21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IFERROR(INDEX(Datos!$A$2:$K$102,Formulas!AR137,RIGHT(Formulas!AT137)+2),"")))</f>
        <v/>
      </c>
      <c r="AS140" s="121" t="str" cm="1">
        <f t="array" aca="1" ref="AS140" ca="1">IF(OR(Formulas!AT138=0,Formulas!AT138=""),"",HYPERLINK("["&amp;Archivo_Nombre&amp;"]Datos!"&amp;LEFT(SUBSTITUTE(ADDRESS(1,Formulas!AT138+2),"$",""))&amp;Formulas!AS138+1,
IFERROR(INDEX(Datos!$A$2:$K$102,Formulas!AS138,Formulas!AT138+2),"")))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21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IFERROR(INDEX(Datos!$A$2:$K$102,Formulas!AW137,RIGHT(Formulas!AY137)+2),"")))</f>
        <v/>
      </c>
      <c r="AX140" s="121" t="str" cm="1">
        <f t="array" aca="1" ref="AX140" ca="1">IF(OR(Formulas!AY138=0,Formulas!AY138=""),"",HYPERLINK("["&amp;Archivo_Nombre&amp;"]Datos!"&amp;LEFT(SUBSTITUTE(ADDRESS(1,Formulas!AY138+2),"$",""))&amp;Formulas!AX138+1,
IFERROR(INDEX(Datos!$A$2:$K$102,Formulas!AX138,Formulas!AY138+2),"")))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21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IFERROR(INDEX(Datos!$A$2:$K$102,Formulas!D138,RIGHT(Formulas!F138)+2),"")))</f>
        <v/>
      </c>
      <c r="E141" s="121" t="str" cm="1">
        <f t="array" aca="1" ref="E141" ca="1">IF(OR(Formulas!F139=0,Formulas!F139=""),"",HYPERLINK("["&amp;Archivo_Nombre&amp;"]Datos!"&amp;LEFT(SUBSTITUTE(ADDRESS(1,Formulas!F139+2),"$",""))&amp;Formulas!E139+1,
IFERROR(INDEX(Datos!$A$2:$K$102,Formulas!E139,Formulas!F139+2),"")))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21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IFERROR(INDEX(Datos!$A$2:$K$102,Formulas!I138,RIGHT(Formulas!K138)+2),"")))</f>
        <v/>
      </c>
      <c r="J141" s="121" t="str" cm="1">
        <f t="array" aca="1" ref="J141" ca="1">IF(OR(Formulas!K139=0,Formulas!K139=""),"",HYPERLINK("["&amp;Archivo_Nombre&amp;"]Datos!"&amp;LEFT(SUBSTITUTE(ADDRESS(1,Formulas!K139+2),"$",""))&amp;Formulas!J139+1,
IFERROR(INDEX(Datos!$A$2:$K$102,Formulas!J139,Formulas!K139+2),"")))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21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IFERROR(INDEX(Datos!$A$2:$K$102,Formulas!N138,RIGHT(Formulas!P138)+2),"")))</f>
        <v/>
      </c>
      <c r="O141" s="121" t="str" cm="1">
        <f t="array" aca="1" ref="O141" ca="1">IF(OR(Formulas!P139=0,Formulas!P139=""),"",HYPERLINK("["&amp;Archivo_Nombre&amp;"]Datos!"&amp;LEFT(SUBSTITUTE(ADDRESS(1,Formulas!P139+2),"$",""))&amp;Formulas!O139+1,
IFERROR(INDEX(Datos!$A$2:$K$102,Formulas!O139,Formulas!P139+2),"")))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43:</v>
      </c>
      <c r="S141" s="121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IFERROR(INDEX(Datos!$A$2:$K$102,Formulas!S138,RIGHT(Formulas!U138)+2),"")))</f>
        <v>REQ005-3 Implementar gestión de permisos: solo la administradora pueden autorizar acceso de edición</v>
      </c>
      <c r="T141" s="121" t="e" cm="1">
        <f t="array" aca="1" ref="T141" ca="1">IF(OR(Formulas!U139=0,Formulas!U139=""),"",HYPERLINK("["&amp;Archivo_Nombre&amp;"]Datos!"&amp;LEFT(SUBSTITUTE(ADDRESS(1,Formulas!U139+2),"$",""))&amp;Formulas!T139+1,
IFERROR(INDEX(Datos!$A$2:$K$102,Formulas!T139,Formulas!U139+2),"")))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21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IFERROR(INDEX(Datos!$A$2:$K$102,Formulas!X138,RIGHT(Formulas!Z138)+2),"")))</f>
        <v/>
      </c>
      <c r="Y141" s="121" t="str" cm="1">
        <f t="array" aca="1" ref="Y141" ca="1">IF(OR(Formulas!Z139=0,Formulas!Z139=""),"",HYPERLINK("["&amp;Archivo_Nombre&amp;"]Datos!"&amp;LEFT(SUBSTITUTE(ADDRESS(1,Formulas!Z139+2),"$",""))&amp;Formulas!Y139+1,
IFERROR(INDEX(Datos!$A$2:$K$102,Formulas!Y139,Formulas!Z139+2),"")))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21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IFERROR(INDEX(Datos!$A$2:$K$102,Formulas!AC138,RIGHT(Formulas!AE138)+2),"")))</f>
        <v/>
      </c>
      <c r="AD141" s="121" t="str" cm="1">
        <f t="array" aca="1" ref="AD141" ca="1">IF(OR(Formulas!AE139=0,Formulas!AE139=""),"",HYPERLINK("["&amp;Archivo_Nombre&amp;"]Datos!"&amp;LEFT(SUBSTITUTE(ADDRESS(1,Formulas!AE139+2),"$",""))&amp;Formulas!AD139+1,
IFERROR(INDEX(Datos!$A$2:$K$102,Formulas!AD139,Formulas!AE139+2),"")))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21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IFERROR(INDEX(Datos!$A$2:$K$102,Formulas!AH138,RIGHT(Formulas!AJ138)+2),"")))</f>
        <v/>
      </c>
      <c r="AI141" s="121" t="str" cm="1">
        <f t="array" aca="1" ref="AI141" ca="1">IF(OR(Formulas!AJ139=0,Formulas!AJ139=""),"",HYPERLINK("["&amp;Archivo_Nombre&amp;"]Datos!"&amp;LEFT(SUBSTITUTE(ADDRESS(1,Formulas!AJ139+2),"$",""))&amp;Formulas!AI139+1,
IFERROR(INDEX(Datos!$A$2:$K$102,Formulas!AI139,Formulas!AJ139+2),"")))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21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IFERROR(INDEX(Datos!$A$2:$K$102,Formulas!AM138,RIGHT(Formulas!AO138)+2),"")))</f>
        <v/>
      </c>
      <c r="AN141" s="121" t="str" cm="1">
        <f t="array" aca="1" ref="AN141" ca="1">IF(OR(Formulas!AO139=0,Formulas!AO139=""),"",HYPERLINK("["&amp;Archivo_Nombre&amp;"]Datos!"&amp;LEFT(SUBSTITUTE(ADDRESS(1,Formulas!AO139+2),"$",""))&amp;Formulas!AN139+1,
IFERROR(INDEX(Datos!$A$2:$K$102,Formulas!AN139,Formulas!AO139+2),"")))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21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IFERROR(INDEX(Datos!$A$2:$K$102,Formulas!AR138,RIGHT(Formulas!AT138)+2),"")))</f>
        <v/>
      </c>
      <c r="AS141" s="121" t="str" cm="1">
        <f t="array" aca="1" ref="AS141" ca="1">IF(OR(Formulas!AT139=0,Formulas!AT139=""),"",HYPERLINK("["&amp;Archivo_Nombre&amp;"]Datos!"&amp;LEFT(SUBSTITUTE(ADDRESS(1,Formulas!AT139+2),"$",""))&amp;Formulas!AS139+1,
IFERROR(INDEX(Datos!$A$2:$K$102,Formulas!AS139,Formulas!AT139+2),"")))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21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IFERROR(INDEX(Datos!$A$2:$K$102,Formulas!AW138,RIGHT(Formulas!AY138)+2),"")))</f>
        <v/>
      </c>
      <c r="AX141" s="121" t="str" cm="1">
        <f t="array" aca="1" ref="AX141" ca="1">IF(OR(Formulas!AY139=0,Formulas!AY139=""),"",HYPERLINK("["&amp;Archivo_Nombre&amp;"]Datos!"&amp;LEFT(SUBSTITUTE(ADDRESS(1,Formulas!AY139+2),"$",""))&amp;Formulas!AX139+1,
IFERROR(INDEX(Datos!$A$2:$K$102,Formulas!AX139,Formulas!AY139+2),"")))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21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IFERROR(INDEX(Datos!$A$2:$K$102,Formulas!D139,RIGHT(Formulas!F139)+2),"")))</f>
        <v/>
      </c>
      <c r="E142" s="121" t="str" cm="1">
        <f t="array" aca="1" ref="E142" ca="1">IF(OR(Formulas!F140=0,Formulas!F140=""),"",HYPERLINK("["&amp;Archivo_Nombre&amp;"]Datos!"&amp;LEFT(SUBSTITUTE(ADDRESS(1,Formulas!F140+2),"$",""))&amp;Formulas!E140+1,
IFERROR(INDEX(Datos!$A$2:$K$102,Formulas!E140,Formulas!F140+2),"")))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21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IFERROR(INDEX(Datos!$A$2:$K$102,Formulas!I139,RIGHT(Formulas!K139)+2),"")))</f>
        <v/>
      </c>
      <c r="J142" s="121" t="str" cm="1">
        <f t="array" aca="1" ref="J142" ca="1">IF(OR(Formulas!K140=0,Formulas!K140=""),"",HYPERLINK("["&amp;Archivo_Nombre&amp;"]Datos!"&amp;LEFT(SUBSTITUTE(ADDRESS(1,Formulas!K140+2),"$",""))&amp;Formulas!J140+1,
IFERROR(INDEX(Datos!$A$2:$K$102,Formulas!J140,Formulas!K140+2),"")))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21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IFERROR(INDEX(Datos!$A$2:$K$102,Formulas!N139,RIGHT(Formulas!P139)+2),"")))</f>
        <v/>
      </c>
      <c r="O142" s="121" t="str" cm="1">
        <f t="array" aca="1" ref="O142" ca="1">IF(OR(Formulas!P140=0,Formulas!P140=""),"",HYPERLINK("["&amp;Archivo_Nombre&amp;"]Datos!"&amp;LEFT(SUBSTITUTE(ADDRESS(1,Formulas!P140+2),"$",""))&amp;Formulas!O140+1,
IFERROR(INDEX(Datos!$A$2:$K$102,Formulas!O140,Formulas!P140+2),"")))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21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IFERROR(INDEX(Datos!$A$2:$K$102,Formulas!S139,RIGHT(Formulas!U139)+2),"")))</f>
        <v>Implementar gestión de permisos: solo la administradora pueden autorizar acceso de edición.</v>
      </c>
      <c r="T142" s="121" t="e" cm="1">
        <f t="array" aca="1" ref="T142" ca="1">IF(OR(Formulas!U140=0,Formulas!U140=""),"",HYPERLINK("["&amp;Archivo_Nombre&amp;"]Datos!"&amp;LEFT(SUBSTITUTE(ADDRESS(1,Formulas!U140+2),"$",""))&amp;Formulas!T140+1,
IFERROR(INDEX(Datos!$A$2:$K$102,Formulas!T140,Formulas!U140+2),"")))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21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IFERROR(INDEX(Datos!$A$2:$K$102,Formulas!X139,RIGHT(Formulas!Z139)+2),"")))</f>
        <v/>
      </c>
      <c r="Y142" s="121" t="str" cm="1">
        <f t="array" aca="1" ref="Y142" ca="1">IF(OR(Formulas!Z140=0,Formulas!Z140=""),"",HYPERLINK("["&amp;Archivo_Nombre&amp;"]Datos!"&amp;LEFT(SUBSTITUTE(ADDRESS(1,Formulas!Z140+2),"$",""))&amp;Formulas!Y140+1,
IFERROR(INDEX(Datos!$A$2:$K$102,Formulas!Y140,Formulas!Z140+2),"")))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21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IFERROR(INDEX(Datos!$A$2:$K$102,Formulas!AC139,RIGHT(Formulas!AE139)+2),"")))</f>
        <v/>
      </c>
      <c r="AD142" s="121" t="str" cm="1">
        <f t="array" aca="1" ref="AD142" ca="1">IF(OR(Formulas!AE140=0,Formulas!AE140=""),"",HYPERLINK("["&amp;Archivo_Nombre&amp;"]Datos!"&amp;LEFT(SUBSTITUTE(ADDRESS(1,Formulas!AE140+2),"$",""))&amp;Formulas!AD140+1,
IFERROR(INDEX(Datos!$A$2:$K$102,Formulas!AD140,Formulas!AE140+2),"")))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21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IFERROR(INDEX(Datos!$A$2:$K$102,Formulas!AH139,RIGHT(Formulas!AJ139)+2),"")))</f>
        <v/>
      </c>
      <c r="AI142" s="121" t="str" cm="1">
        <f t="array" aca="1" ref="AI142" ca="1">IF(OR(Formulas!AJ140=0,Formulas!AJ140=""),"",HYPERLINK("["&amp;Archivo_Nombre&amp;"]Datos!"&amp;LEFT(SUBSTITUTE(ADDRESS(1,Formulas!AJ140+2),"$",""))&amp;Formulas!AI140+1,
IFERROR(INDEX(Datos!$A$2:$K$102,Formulas!AI140,Formulas!AJ140+2),"")))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21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IFERROR(INDEX(Datos!$A$2:$K$102,Formulas!AM139,RIGHT(Formulas!AO139)+2),"")))</f>
        <v/>
      </c>
      <c r="AN142" s="121" t="str" cm="1">
        <f t="array" aca="1" ref="AN142" ca="1">IF(OR(Formulas!AO140=0,Formulas!AO140=""),"",HYPERLINK("["&amp;Archivo_Nombre&amp;"]Datos!"&amp;LEFT(SUBSTITUTE(ADDRESS(1,Formulas!AO140+2),"$",""))&amp;Formulas!AN140+1,
IFERROR(INDEX(Datos!$A$2:$K$102,Formulas!AN140,Formulas!AO140+2),"")))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21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IFERROR(INDEX(Datos!$A$2:$K$102,Formulas!AR139,RIGHT(Formulas!AT139)+2),"")))</f>
        <v/>
      </c>
      <c r="AS142" s="121" t="str" cm="1">
        <f t="array" aca="1" ref="AS142" ca="1">IF(OR(Formulas!AT140=0,Formulas!AT140=""),"",HYPERLINK("["&amp;Archivo_Nombre&amp;"]Datos!"&amp;LEFT(SUBSTITUTE(ADDRESS(1,Formulas!AT140+2),"$",""))&amp;Formulas!AS140+1,
IFERROR(INDEX(Datos!$A$2:$K$102,Formulas!AS140,Formulas!AT140+2),"")))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21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IFERROR(INDEX(Datos!$A$2:$K$102,Formulas!AW139,RIGHT(Formulas!AY139)+2),"")))</f>
        <v/>
      </c>
      <c r="AX142" s="121" t="str" cm="1">
        <f t="array" aca="1" ref="AX142" ca="1">IF(OR(Formulas!AY140=0,Formulas!AY140=""),"",HYPERLINK("["&amp;Archivo_Nombre&amp;"]Datos!"&amp;LEFT(SUBSTITUTE(ADDRESS(1,Formulas!AY140+2),"$",""))&amp;Formulas!AX140+1,
IFERROR(INDEX(Datos!$A$2:$K$102,Formulas!AX140,Formulas!AY140+2),"")))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21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IFERROR(INDEX(Datos!$A$2:$K$102,Formulas!D140,RIGHT(Formulas!F140)+2),"")))</f>
        <v/>
      </c>
      <c r="E143" s="121" t="str" cm="1">
        <f t="array" aca="1" ref="E143" ca="1">IF(OR(Formulas!F141=0,Formulas!F141=""),"",HYPERLINK("["&amp;Archivo_Nombre&amp;"]Datos!"&amp;LEFT(SUBSTITUTE(ADDRESS(1,Formulas!F141+2),"$",""))&amp;Formulas!E141+1,
IFERROR(INDEX(Datos!$A$2:$K$102,Formulas!E141,Formulas!F141+2),"")))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21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IFERROR(INDEX(Datos!$A$2:$K$102,Formulas!I140,RIGHT(Formulas!K140)+2),"")))</f>
        <v/>
      </c>
      <c r="J143" s="121" t="str" cm="1">
        <f t="array" aca="1" ref="J143" ca="1">IF(OR(Formulas!K141=0,Formulas!K141=""),"",HYPERLINK("["&amp;Archivo_Nombre&amp;"]Datos!"&amp;LEFT(SUBSTITUTE(ADDRESS(1,Formulas!K141+2),"$",""))&amp;Formulas!J141+1,
IFERROR(INDEX(Datos!$A$2:$K$102,Formulas!J141,Formulas!K141+2),"")))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21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IFERROR(INDEX(Datos!$A$2:$K$102,Formulas!N140,RIGHT(Formulas!P140)+2),"")))</f>
        <v/>
      </c>
      <c r="O143" s="121" t="str" cm="1">
        <f t="array" aca="1" ref="O143" ca="1">IF(OR(Formulas!P141=0,Formulas!P141=""),"",HYPERLINK("["&amp;Archivo_Nombre&amp;"]Datos!"&amp;LEFT(SUBSTITUTE(ADDRESS(1,Formulas!P141+2),"$",""))&amp;Formulas!O141+1,
IFERROR(INDEX(Datos!$A$2:$K$102,Formulas!O141,Formulas!P141+2),"")))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21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IFERROR(INDEX(Datos!$A$2:$K$102,Formulas!S140,RIGHT(Formulas!U140)+2),"")))</f>
        <v>45858</v>
      </c>
      <c r="T143" s="121" t="e" cm="1">
        <f t="array" aca="1" ref="T143" ca="1">IF(OR(Formulas!U141=0,Formulas!U141=""),"",HYPERLINK("["&amp;Archivo_Nombre&amp;"]Datos!"&amp;LEFT(SUBSTITUTE(ADDRESS(1,Formulas!U141+2),"$",""))&amp;Formulas!T141+1,
IFERROR(INDEX(Datos!$A$2:$K$102,Formulas!T141,Formulas!U141+2),"")))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21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IFERROR(INDEX(Datos!$A$2:$K$102,Formulas!X140,RIGHT(Formulas!Z140)+2),"")))</f>
        <v/>
      </c>
      <c r="Y143" s="121" t="str" cm="1">
        <f t="array" aca="1" ref="Y143" ca="1">IF(OR(Formulas!Z141=0,Formulas!Z141=""),"",HYPERLINK("["&amp;Archivo_Nombre&amp;"]Datos!"&amp;LEFT(SUBSTITUTE(ADDRESS(1,Formulas!Z141+2),"$",""))&amp;Formulas!Y141+1,
IFERROR(INDEX(Datos!$A$2:$K$102,Formulas!Y141,Formulas!Z141+2),"")))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21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IFERROR(INDEX(Datos!$A$2:$K$102,Formulas!AC140,RIGHT(Formulas!AE140)+2),"")))</f>
        <v/>
      </c>
      <c r="AD143" s="121" t="str" cm="1">
        <f t="array" aca="1" ref="AD143" ca="1">IF(OR(Formulas!AE141=0,Formulas!AE141=""),"",HYPERLINK("["&amp;Archivo_Nombre&amp;"]Datos!"&amp;LEFT(SUBSTITUTE(ADDRESS(1,Formulas!AE141+2),"$",""))&amp;Formulas!AD141+1,
IFERROR(INDEX(Datos!$A$2:$K$102,Formulas!AD141,Formulas!AE141+2),"")))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21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IFERROR(INDEX(Datos!$A$2:$K$102,Formulas!AH140,RIGHT(Formulas!AJ140)+2),"")))</f>
        <v/>
      </c>
      <c r="AI143" s="121" t="str" cm="1">
        <f t="array" aca="1" ref="AI143" ca="1">IF(OR(Formulas!AJ141=0,Formulas!AJ141=""),"",HYPERLINK("["&amp;Archivo_Nombre&amp;"]Datos!"&amp;LEFT(SUBSTITUTE(ADDRESS(1,Formulas!AJ141+2),"$",""))&amp;Formulas!AI141+1,
IFERROR(INDEX(Datos!$A$2:$K$102,Formulas!AI141,Formulas!AJ141+2),"")))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21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IFERROR(INDEX(Datos!$A$2:$K$102,Formulas!AM140,RIGHT(Formulas!AO140)+2),"")))</f>
        <v/>
      </c>
      <c r="AN143" s="121" t="str" cm="1">
        <f t="array" aca="1" ref="AN143" ca="1">IF(OR(Formulas!AO141=0,Formulas!AO141=""),"",HYPERLINK("["&amp;Archivo_Nombre&amp;"]Datos!"&amp;LEFT(SUBSTITUTE(ADDRESS(1,Formulas!AO141+2),"$",""))&amp;Formulas!AN141+1,
IFERROR(INDEX(Datos!$A$2:$K$102,Formulas!AN141,Formulas!AO141+2),"")))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21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IFERROR(INDEX(Datos!$A$2:$K$102,Formulas!AR140,RIGHT(Formulas!AT140)+2),"")))</f>
        <v/>
      </c>
      <c r="AS143" s="121" t="str" cm="1">
        <f t="array" aca="1" ref="AS143" ca="1">IF(OR(Formulas!AT141=0,Formulas!AT141=""),"",HYPERLINK("["&amp;Archivo_Nombre&amp;"]Datos!"&amp;LEFT(SUBSTITUTE(ADDRESS(1,Formulas!AT141+2),"$",""))&amp;Formulas!AS141+1,
IFERROR(INDEX(Datos!$A$2:$K$102,Formulas!AS141,Formulas!AT141+2),"")))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21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IFERROR(INDEX(Datos!$A$2:$K$102,Formulas!AW140,RIGHT(Formulas!AY140)+2),"")))</f>
        <v/>
      </c>
      <c r="AX143" s="121" t="str" cm="1">
        <f t="array" aca="1" ref="AX143" ca="1">IF(OR(Formulas!AY141=0,Formulas!AY141=""),"",HYPERLINK("["&amp;Archivo_Nombre&amp;"]Datos!"&amp;LEFT(SUBSTITUTE(ADDRESS(1,Formulas!AY141+2),"$",""))&amp;Formulas!AX141+1,
IFERROR(INDEX(Datos!$A$2:$K$102,Formulas!AX141,Formulas!AY141+2),"")))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21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IFERROR(INDEX(Datos!$A$2:$K$102,Formulas!D141,RIGHT(Formulas!F141)+2),"")))</f>
        <v/>
      </c>
      <c r="E144" s="121" t="str" cm="1">
        <f t="array" aca="1" ref="E144" ca="1">IF(OR(Formulas!F142=0,Formulas!F142=""),"",HYPERLINK("["&amp;Archivo_Nombre&amp;"]Datos!"&amp;LEFT(SUBSTITUTE(ADDRESS(1,Formulas!F142+2),"$",""))&amp;Formulas!E142+1,
IFERROR(INDEX(Datos!$A$2:$K$102,Formulas!E142,Formulas!F142+2),"")))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21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IFERROR(INDEX(Datos!$A$2:$K$102,Formulas!I141,RIGHT(Formulas!K141)+2),"")))</f>
        <v/>
      </c>
      <c r="J144" s="121" t="str" cm="1">
        <f t="array" aca="1" ref="J144" ca="1">IF(OR(Formulas!K142=0,Formulas!K142=""),"",HYPERLINK("["&amp;Archivo_Nombre&amp;"]Datos!"&amp;LEFT(SUBSTITUTE(ADDRESS(1,Formulas!K142+2),"$",""))&amp;Formulas!J142+1,
IFERROR(INDEX(Datos!$A$2:$K$102,Formulas!J142,Formulas!K142+2),"")))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21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IFERROR(INDEX(Datos!$A$2:$K$102,Formulas!N141,RIGHT(Formulas!P141)+2),"")))</f>
        <v/>
      </c>
      <c r="O144" s="121" t="str" cm="1">
        <f t="array" aca="1" ref="O144" ca="1">IF(OR(Formulas!P142=0,Formulas!P142=""),"",HYPERLINK("["&amp;Archivo_Nombre&amp;"]Datos!"&amp;LEFT(SUBSTITUTE(ADDRESS(1,Formulas!P142+2),"$",""))&amp;Formulas!O142+1,
IFERROR(INDEX(Datos!$A$2:$K$102,Formulas!O142,Formulas!P142+2),"")))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21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IFERROR(INDEX(Datos!$A$2:$K$102,Formulas!S141,RIGHT(Formulas!U141)+2),"")))</f>
        <v>45860</v>
      </c>
      <c r="T144" s="121" t="e" cm="1">
        <f t="array" aca="1" ref="T144" ca="1">IF(OR(Formulas!U142=0,Formulas!U142=""),"",HYPERLINK("["&amp;Archivo_Nombre&amp;"]Datos!"&amp;LEFT(SUBSTITUTE(ADDRESS(1,Formulas!U142+2),"$",""))&amp;Formulas!T142+1,
IFERROR(INDEX(Datos!$A$2:$K$102,Formulas!T142,Formulas!U142+2),"")))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21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IFERROR(INDEX(Datos!$A$2:$K$102,Formulas!X141,RIGHT(Formulas!Z141)+2),"")))</f>
        <v/>
      </c>
      <c r="Y144" s="121" t="str" cm="1">
        <f t="array" aca="1" ref="Y144" ca="1">IF(OR(Formulas!Z142=0,Formulas!Z142=""),"",HYPERLINK("["&amp;Archivo_Nombre&amp;"]Datos!"&amp;LEFT(SUBSTITUTE(ADDRESS(1,Formulas!Z142+2),"$",""))&amp;Formulas!Y142+1,
IFERROR(INDEX(Datos!$A$2:$K$102,Formulas!Y142,Formulas!Z142+2),"")))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21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IFERROR(INDEX(Datos!$A$2:$K$102,Formulas!AC141,RIGHT(Formulas!AE141)+2),"")))</f>
        <v/>
      </c>
      <c r="AD144" s="121" t="str" cm="1">
        <f t="array" aca="1" ref="AD144" ca="1">IF(OR(Formulas!AE142=0,Formulas!AE142=""),"",HYPERLINK("["&amp;Archivo_Nombre&amp;"]Datos!"&amp;LEFT(SUBSTITUTE(ADDRESS(1,Formulas!AE142+2),"$",""))&amp;Formulas!AD142+1,
IFERROR(INDEX(Datos!$A$2:$K$102,Formulas!AD142,Formulas!AE142+2),"")))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21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IFERROR(INDEX(Datos!$A$2:$K$102,Formulas!AH141,RIGHT(Formulas!AJ141)+2),"")))</f>
        <v/>
      </c>
      <c r="AI144" s="121" t="str" cm="1">
        <f t="array" aca="1" ref="AI144" ca="1">IF(OR(Formulas!AJ142=0,Formulas!AJ142=""),"",HYPERLINK("["&amp;Archivo_Nombre&amp;"]Datos!"&amp;LEFT(SUBSTITUTE(ADDRESS(1,Formulas!AJ142+2),"$",""))&amp;Formulas!AI142+1,
IFERROR(INDEX(Datos!$A$2:$K$102,Formulas!AI142,Formulas!AJ142+2),"")))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21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IFERROR(INDEX(Datos!$A$2:$K$102,Formulas!AM141,RIGHT(Formulas!AO141)+2),"")))</f>
        <v/>
      </c>
      <c r="AN144" s="121" t="str" cm="1">
        <f t="array" aca="1" ref="AN144" ca="1">IF(OR(Formulas!AO142=0,Formulas!AO142=""),"",HYPERLINK("["&amp;Archivo_Nombre&amp;"]Datos!"&amp;LEFT(SUBSTITUTE(ADDRESS(1,Formulas!AO142+2),"$",""))&amp;Formulas!AN142+1,
IFERROR(INDEX(Datos!$A$2:$K$102,Formulas!AN142,Formulas!AO142+2),"")))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21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IFERROR(INDEX(Datos!$A$2:$K$102,Formulas!AR141,RIGHT(Formulas!AT141)+2),"")))</f>
        <v/>
      </c>
      <c r="AS144" s="121" t="str" cm="1">
        <f t="array" aca="1" ref="AS144" ca="1">IF(OR(Formulas!AT142=0,Formulas!AT142=""),"",HYPERLINK("["&amp;Archivo_Nombre&amp;"]Datos!"&amp;LEFT(SUBSTITUTE(ADDRESS(1,Formulas!AT142+2),"$",""))&amp;Formulas!AS142+1,
IFERROR(INDEX(Datos!$A$2:$K$102,Formulas!AS142,Formulas!AT142+2),"")))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21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IFERROR(INDEX(Datos!$A$2:$K$102,Formulas!AW141,RIGHT(Formulas!AY141)+2),"")))</f>
        <v/>
      </c>
      <c r="AX144" s="121" t="str" cm="1">
        <f t="array" aca="1" ref="AX144" ca="1">IF(OR(Formulas!AY142=0,Formulas!AY142=""),"",HYPERLINK("["&amp;Archivo_Nombre&amp;"]Datos!"&amp;LEFT(SUBSTITUTE(ADDRESS(1,Formulas!AY142+2),"$",""))&amp;Formulas!AX142+1,
IFERROR(INDEX(Datos!$A$2:$K$102,Formulas!AX142,Formulas!AY142+2),"")))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21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IFERROR(INDEX(Datos!$A$2:$K$102,Formulas!D142,RIGHT(Formulas!F142)+2),"")))</f>
        <v/>
      </c>
      <c r="E145" s="121" t="str" cm="1">
        <f t="array" aca="1" ref="E145" ca="1">IF(OR(Formulas!F143=0,Formulas!F143=""),"",HYPERLINK("["&amp;Archivo_Nombre&amp;"]Datos!"&amp;LEFT(SUBSTITUTE(ADDRESS(1,Formulas!F143+2),"$",""))&amp;Formulas!E143+1,
IFERROR(INDEX(Datos!$A$2:$K$102,Formulas!E143,Formulas!F143+2),"")))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21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IFERROR(INDEX(Datos!$A$2:$K$102,Formulas!I142,RIGHT(Formulas!K142)+2),"")))</f>
        <v/>
      </c>
      <c r="J145" s="121" t="str" cm="1">
        <f t="array" aca="1" ref="J145" ca="1">IF(OR(Formulas!K143=0,Formulas!K143=""),"",HYPERLINK("["&amp;Archivo_Nombre&amp;"]Datos!"&amp;LEFT(SUBSTITUTE(ADDRESS(1,Formulas!K143+2),"$",""))&amp;Formulas!J143+1,
IFERROR(INDEX(Datos!$A$2:$K$102,Formulas!J143,Formulas!K143+2),"")))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21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IFERROR(INDEX(Datos!$A$2:$K$102,Formulas!N142,RIGHT(Formulas!P142)+2),"")))</f>
        <v/>
      </c>
      <c r="O145" s="121" t="str" cm="1">
        <f t="array" aca="1" ref="O145" ca="1">IF(OR(Formulas!P143=0,Formulas!P143=""),"",HYPERLINK("["&amp;Archivo_Nombre&amp;"]Datos!"&amp;LEFT(SUBSTITUTE(ADDRESS(1,Formulas!P143+2),"$",""))&amp;Formulas!O143+1,
IFERROR(INDEX(Datos!$A$2:$K$102,Formulas!O143,Formulas!P143+2),"")))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21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IFERROR(INDEX(Datos!$A$2:$K$102,Formulas!S142,RIGHT(Formulas!U142)+2),"")))</f>
        <v>45860</v>
      </c>
      <c r="T145" s="121" t="e" cm="1">
        <f t="array" aca="1" ref="T145" ca="1">IF(OR(Formulas!U143=0,Formulas!U143=""),"",HYPERLINK("["&amp;Archivo_Nombre&amp;"]Datos!"&amp;LEFT(SUBSTITUTE(ADDRESS(1,Formulas!U143+2),"$",""))&amp;Formulas!T143+1,
IFERROR(INDEX(Datos!$A$2:$K$102,Formulas!T143,Formulas!U143+2),"")))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21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IFERROR(INDEX(Datos!$A$2:$K$102,Formulas!X142,RIGHT(Formulas!Z142)+2),"")))</f>
        <v/>
      </c>
      <c r="Y145" s="121" t="str" cm="1">
        <f t="array" aca="1" ref="Y145" ca="1">IF(OR(Formulas!Z143=0,Formulas!Z143=""),"",HYPERLINK("["&amp;Archivo_Nombre&amp;"]Datos!"&amp;LEFT(SUBSTITUTE(ADDRESS(1,Formulas!Z143+2),"$",""))&amp;Formulas!Y143+1,
IFERROR(INDEX(Datos!$A$2:$K$102,Formulas!Y143,Formulas!Z143+2),"")))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21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IFERROR(INDEX(Datos!$A$2:$K$102,Formulas!AC142,RIGHT(Formulas!AE142)+2),"")))</f>
        <v/>
      </c>
      <c r="AD145" s="121" t="str" cm="1">
        <f t="array" aca="1" ref="AD145" ca="1">IF(OR(Formulas!AE143=0,Formulas!AE143=""),"",HYPERLINK("["&amp;Archivo_Nombre&amp;"]Datos!"&amp;LEFT(SUBSTITUTE(ADDRESS(1,Formulas!AE143+2),"$",""))&amp;Formulas!AD143+1,
IFERROR(INDEX(Datos!$A$2:$K$102,Formulas!AD143,Formulas!AE143+2),"")))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21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IFERROR(INDEX(Datos!$A$2:$K$102,Formulas!AH142,RIGHT(Formulas!AJ142)+2),"")))</f>
        <v/>
      </c>
      <c r="AI145" s="121" t="str" cm="1">
        <f t="array" aca="1" ref="AI145" ca="1">IF(OR(Formulas!AJ143=0,Formulas!AJ143=""),"",HYPERLINK("["&amp;Archivo_Nombre&amp;"]Datos!"&amp;LEFT(SUBSTITUTE(ADDRESS(1,Formulas!AJ143+2),"$",""))&amp;Formulas!AI143+1,
IFERROR(INDEX(Datos!$A$2:$K$102,Formulas!AI143,Formulas!AJ143+2),"")))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21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IFERROR(INDEX(Datos!$A$2:$K$102,Formulas!AM142,RIGHT(Formulas!AO142)+2),"")))</f>
        <v/>
      </c>
      <c r="AN145" s="121" t="str" cm="1">
        <f t="array" aca="1" ref="AN145" ca="1">IF(OR(Formulas!AO143=0,Formulas!AO143=""),"",HYPERLINK("["&amp;Archivo_Nombre&amp;"]Datos!"&amp;LEFT(SUBSTITUTE(ADDRESS(1,Formulas!AO143+2),"$",""))&amp;Formulas!AN143+1,
IFERROR(INDEX(Datos!$A$2:$K$102,Formulas!AN143,Formulas!AO143+2),"")))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21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IFERROR(INDEX(Datos!$A$2:$K$102,Formulas!AR142,RIGHT(Formulas!AT142)+2),"")))</f>
        <v/>
      </c>
      <c r="AS145" s="121" t="str" cm="1">
        <f t="array" aca="1" ref="AS145" ca="1">IF(OR(Formulas!AT143=0,Formulas!AT143=""),"",HYPERLINK("["&amp;Archivo_Nombre&amp;"]Datos!"&amp;LEFT(SUBSTITUTE(ADDRESS(1,Formulas!AT143+2),"$",""))&amp;Formulas!AS143+1,
IFERROR(INDEX(Datos!$A$2:$K$102,Formulas!AS143,Formulas!AT143+2),"")))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21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IFERROR(INDEX(Datos!$A$2:$K$102,Formulas!AW142,RIGHT(Formulas!AY142)+2),"")))</f>
        <v/>
      </c>
      <c r="AX145" s="121" t="str" cm="1">
        <f t="array" aca="1" ref="AX145" ca="1">IF(OR(Formulas!AY143=0,Formulas!AY143=""),"",HYPERLINK("["&amp;Archivo_Nombre&amp;"]Datos!"&amp;LEFT(SUBSTITUTE(ADDRESS(1,Formulas!AY143+2),"$",""))&amp;Formulas!AX143+1,
IFERROR(INDEX(Datos!$A$2:$K$102,Formulas!AX143,Formulas!AY143+2),"")))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21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IFERROR(INDEX(Datos!$A$2:$K$102,Formulas!D143,RIGHT(Formulas!F143)+2),"")))</f>
        <v/>
      </c>
      <c r="E146" s="121" t="str" cm="1">
        <f t="array" aca="1" ref="E146" ca="1">IF(OR(Formulas!F144=0,Formulas!F144=""),"",HYPERLINK("["&amp;Archivo_Nombre&amp;"]Datos!"&amp;LEFT(SUBSTITUTE(ADDRESS(1,Formulas!F144+2),"$",""))&amp;Formulas!E144+1,
IFERROR(INDEX(Datos!$A$2:$K$102,Formulas!E144,Formulas!F144+2),"")))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21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IFERROR(INDEX(Datos!$A$2:$K$102,Formulas!I143,RIGHT(Formulas!K143)+2),"")))</f>
        <v/>
      </c>
      <c r="J146" s="121" t="str" cm="1">
        <f t="array" aca="1" ref="J146" ca="1">IF(OR(Formulas!K144=0,Formulas!K144=""),"",HYPERLINK("["&amp;Archivo_Nombre&amp;"]Datos!"&amp;LEFT(SUBSTITUTE(ADDRESS(1,Formulas!K144+2),"$",""))&amp;Formulas!J144+1,
IFERROR(INDEX(Datos!$A$2:$K$102,Formulas!J144,Formulas!K144+2),"")))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21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IFERROR(INDEX(Datos!$A$2:$K$102,Formulas!N143,RIGHT(Formulas!P143)+2),"")))</f>
        <v/>
      </c>
      <c r="O146" s="121" t="str" cm="1">
        <f t="array" aca="1" ref="O146" ca="1">IF(OR(Formulas!P144=0,Formulas!P144=""),"",HYPERLINK("["&amp;Archivo_Nombre&amp;"]Datos!"&amp;LEFT(SUBSTITUTE(ADDRESS(1,Formulas!P144+2),"$",""))&amp;Formulas!O144+1,
IFERROR(INDEX(Datos!$A$2:$K$102,Formulas!O144,Formulas!P144+2),"")))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21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IFERROR(INDEX(Datos!$A$2:$K$102,Formulas!S143,RIGHT(Formulas!U143)+2),"")))</f>
        <v>3 días</v>
      </c>
      <c r="T146" s="121" t="e" cm="1">
        <f t="array" aca="1" ref="T146" ca="1">IF(OR(Formulas!U144=0,Formulas!U144=""),"",HYPERLINK("["&amp;Archivo_Nombre&amp;"]Datos!"&amp;LEFT(SUBSTITUTE(ADDRESS(1,Formulas!U144+2),"$",""))&amp;Formulas!T144+1,
IFERROR(INDEX(Datos!$A$2:$K$102,Formulas!T144,Formulas!U144+2),"")))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21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IFERROR(INDEX(Datos!$A$2:$K$102,Formulas!X143,RIGHT(Formulas!Z143)+2),"")))</f>
        <v/>
      </c>
      <c r="Y146" s="121" t="str" cm="1">
        <f t="array" aca="1" ref="Y146" ca="1">IF(OR(Formulas!Z144=0,Formulas!Z144=""),"",HYPERLINK("["&amp;Archivo_Nombre&amp;"]Datos!"&amp;LEFT(SUBSTITUTE(ADDRESS(1,Formulas!Z144+2),"$",""))&amp;Formulas!Y144+1,
IFERROR(INDEX(Datos!$A$2:$K$102,Formulas!Y144,Formulas!Z144+2),"")))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21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IFERROR(INDEX(Datos!$A$2:$K$102,Formulas!AC143,RIGHT(Formulas!AE143)+2),"")))</f>
        <v/>
      </c>
      <c r="AD146" s="121" t="str" cm="1">
        <f t="array" aca="1" ref="AD146" ca="1">IF(OR(Formulas!AE144=0,Formulas!AE144=""),"",HYPERLINK("["&amp;Archivo_Nombre&amp;"]Datos!"&amp;LEFT(SUBSTITUTE(ADDRESS(1,Formulas!AE144+2),"$",""))&amp;Formulas!AD144+1,
IFERROR(INDEX(Datos!$A$2:$K$102,Formulas!AD144,Formulas!AE144+2),"")))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21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IFERROR(INDEX(Datos!$A$2:$K$102,Formulas!AH143,RIGHT(Formulas!AJ143)+2),"")))</f>
        <v/>
      </c>
      <c r="AI146" s="121" t="str" cm="1">
        <f t="array" aca="1" ref="AI146" ca="1">IF(OR(Formulas!AJ144=0,Formulas!AJ144=""),"",HYPERLINK("["&amp;Archivo_Nombre&amp;"]Datos!"&amp;LEFT(SUBSTITUTE(ADDRESS(1,Formulas!AJ144+2),"$",""))&amp;Formulas!AI144+1,
IFERROR(INDEX(Datos!$A$2:$K$102,Formulas!AI144,Formulas!AJ144+2),"")))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21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IFERROR(INDEX(Datos!$A$2:$K$102,Formulas!AM143,RIGHT(Formulas!AO143)+2),"")))</f>
        <v/>
      </c>
      <c r="AN146" s="121" t="str" cm="1">
        <f t="array" aca="1" ref="AN146" ca="1">IF(OR(Formulas!AO144=0,Formulas!AO144=""),"",HYPERLINK("["&amp;Archivo_Nombre&amp;"]Datos!"&amp;LEFT(SUBSTITUTE(ADDRESS(1,Formulas!AO144+2),"$",""))&amp;Formulas!AN144+1,
IFERROR(INDEX(Datos!$A$2:$K$102,Formulas!AN144,Formulas!AO144+2),"")))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21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IFERROR(INDEX(Datos!$A$2:$K$102,Formulas!AR143,RIGHT(Formulas!AT143)+2),"")))</f>
        <v/>
      </c>
      <c r="AS146" s="121" t="str" cm="1">
        <f t="array" aca="1" ref="AS146" ca="1">IF(OR(Formulas!AT144=0,Formulas!AT144=""),"",HYPERLINK("["&amp;Archivo_Nombre&amp;"]Datos!"&amp;LEFT(SUBSTITUTE(ADDRESS(1,Formulas!AT144+2),"$",""))&amp;Formulas!AS144+1,
IFERROR(INDEX(Datos!$A$2:$K$102,Formulas!AS144,Formulas!AT144+2),"")))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21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IFERROR(INDEX(Datos!$A$2:$K$102,Formulas!AW143,RIGHT(Formulas!AY143)+2),"")))</f>
        <v/>
      </c>
      <c r="AX146" s="121" t="str" cm="1">
        <f t="array" aca="1" ref="AX146" ca="1">IF(OR(Formulas!AY144=0,Formulas!AY144=""),"",HYPERLINK("["&amp;Archivo_Nombre&amp;"]Datos!"&amp;LEFT(SUBSTITUTE(ADDRESS(1,Formulas!AY144+2),"$",""))&amp;Formulas!AX144+1,
IFERROR(INDEX(Datos!$A$2:$K$102,Formulas!AX144,Formulas!AY144+2),"")))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21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IFERROR(INDEX(Datos!$A$2:$K$102,Formulas!D144,RIGHT(Formulas!F144)+2),"")))</f>
        <v/>
      </c>
      <c r="E147" s="121" t="str" cm="1">
        <f t="array" aca="1" ref="E147" ca="1">IF(OR(Formulas!F145=0,Formulas!F145=""),"",HYPERLINK("["&amp;Archivo_Nombre&amp;"]Datos!"&amp;LEFT(SUBSTITUTE(ADDRESS(1,Formulas!F145+2),"$",""))&amp;Formulas!E145+1,
IFERROR(INDEX(Datos!$A$2:$K$102,Formulas!E145,Formulas!F145+2),"")))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21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IFERROR(INDEX(Datos!$A$2:$K$102,Formulas!I144,RIGHT(Formulas!K144)+2),"")))</f>
        <v/>
      </c>
      <c r="J147" s="121" t="str" cm="1">
        <f t="array" aca="1" ref="J147" ca="1">IF(OR(Formulas!K145=0,Formulas!K145=""),"",HYPERLINK("["&amp;Archivo_Nombre&amp;"]Datos!"&amp;LEFT(SUBSTITUTE(ADDRESS(1,Formulas!K145+2),"$",""))&amp;Formulas!J145+1,
IFERROR(INDEX(Datos!$A$2:$K$102,Formulas!J145,Formulas!K145+2),"")))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21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IFERROR(INDEX(Datos!$A$2:$K$102,Formulas!N144,RIGHT(Formulas!P144)+2),"")))</f>
        <v/>
      </c>
      <c r="O147" s="121" t="str" cm="1">
        <f t="array" aca="1" ref="O147" ca="1">IF(OR(Formulas!P145=0,Formulas!P145=""),"",HYPERLINK("["&amp;Archivo_Nombre&amp;"]Datos!"&amp;LEFT(SUBSTITUTE(ADDRESS(1,Formulas!P145+2),"$",""))&amp;Formulas!O145+1,
IFERROR(INDEX(Datos!$A$2:$K$102,Formulas!O145,Formulas!P145+2),"")))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21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IFERROR(INDEX(Datos!$A$2:$K$102,Formulas!S144,RIGHT(Formulas!U144)+2),"")))</f>
        <v>0 días</v>
      </c>
      <c r="T147" s="121" t="e" cm="1">
        <f t="array" aca="1" ref="T147" ca="1">IF(OR(Formulas!U145=0,Formulas!U145=""),"",HYPERLINK("["&amp;Archivo_Nombre&amp;"]Datos!"&amp;LEFT(SUBSTITUTE(ADDRESS(1,Formulas!U145+2),"$",""))&amp;Formulas!T145+1,
IFERROR(INDEX(Datos!$A$2:$K$102,Formulas!T145,Formulas!U145+2),"")))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21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IFERROR(INDEX(Datos!$A$2:$K$102,Formulas!X144,RIGHT(Formulas!Z144)+2),"")))</f>
        <v/>
      </c>
      <c r="Y147" s="121" t="str" cm="1">
        <f t="array" aca="1" ref="Y147" ca="1">IF(OR(Formulas!Z145=0,Formulas!Z145=""),"",HYPERLINK("["&amp;Archivo_Nombre&amp;"]Datos!"&amp;LEFT(SUBSTITUTE(ADDRESS(1,Formulas!Z145+2),"$",""))&amp;Formulas!Y145+1,
IFERROR(INDEX(Datos!$A$2:$K$102,Formulas!Y145,Formulas!Z145+2),"")))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21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IFERROR(INDEX(Datos!$A$2:$K$102,Formulas!AC144,RIGHT(Formulas!AE144)+2),"")))</f>
        <v/>
      </c>
      <c r="AD147" s="121" t="str" cm="1">
        <f t="array" aca="1" ref="AD147" ca="1">IF(OR(Formulas!AE145=0,Formulas!AE145=""),"",HYPERLINK("["&amp;Archivo_Nombre&amp;"]Datos!"&amp;LEFT(SUBSTITUTE(ADDRESS(1,Formulas!AE145+2),"$",""))&amp;Formulas!AD145+1,
IFERROR(INDEX(Datos!$A$2:$K$102,Formulas!AD145,Formulas!AE145+2),"")))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21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IFERROR(INDEX(Datos!$A$2:$K$102,Formulas!AH144,RIGHT(Formulas!AJ144)+2),"")))</f>
        <v/>
      </c>
      <c r="AI147" s="121" t="str" cm="1">
        <f t="array" aca="1" ref="AI147" ca="1">IF(OR(Formulas!AJ145=0,Formulas!AJ145=""),"",HYPERLINK("["&amp;Archivo_Nombre&amp;"]Datos!"&amp;LEFT(SUBSTITUTE(ADDRESS(1,Formulas!AJ145+2),"$",""))&amp;Formulas!AI145+1,
IFERROR(INDEX(Datos!$A$2:$K$102,Formulas!AI145,Formulas!AJ145+2),"")))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21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IFERROR(INDEX(Datos!$A$2:$K$102,Formulas!AM144,RIGHT(Formulas!AO144)+2),"")))</f>
        <v/>
      </c>
      <c r="AN147" s="121" t="str" cm="1">
        <f t="array" aca="1" ref="AN147" ca="1">IF(OR(Formulas!AO145=0,Formulas!AO145=""),"",HYPERLINK("["&amp;Archivo_Nombre&amp;"]Datos!"&amp;LEFT(SUBSTITUTE(ADDRESS(1,Formulas!AO145+2),"$",""))&amp;Formulas!AN145+1,
IFERROR(INDEX(Datos!$A$2:$K$102,Formulas!AN145,Formulas!AO145+2),"")))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21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IFERROR(INDEX(Datos!$A$2:$K$102,Formulas!AR144,RIGHT(Formulas!AT144)+2),"")))</f>
        <v/>
      </c>
      <c r="AS147" s="121" t="str" cm="1">
        <f t="array" aca="1" ref="AS147" ca="1">IF(OR(Formulas!AT145=0,Formulas!AT145=""),"",HYPERLINK("["&amp;Archivo_Nombre&amp;"]Datos!"&amp;LEFT(SUBSTITUTE(ADDRESS(1,Formulas!AT145+2),"$",""))&amp;Formulas!AS145+1,
IFERROR(INDEX(Datos!$A$2:$K$102,Formulas!AS145,Formulas!AT145+2),"")))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21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IFERROR(INDEX(Datos!$A$2:$K$102,Formulas!AW144,RIGHT(Formulas!AY144)+2),"")))</f>
        <v/>
      </c>
      <c r="AX147" s="121" t="str" cm="1">
        <f t="array" aca="1" ref="AX147" ca="1">IF(OR(Formulas!AY145=0,Formulas!AY145=""),"",HYPERLINK("["&amp;Archivo_Nombre&amp;"]Datos!"&amp;LEFT(SUBSTITUTE(ADDRESS(1,Formulas!AY145+2),"$",""))&amp;Formulas!AX145+1,
IFERROR(INDEX(Datos!$A$2:$K$102,Formulas!AX145,Formulas!AY145+2),"")))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21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IFERROR(INDEX(Datos!$A$2:$K$102,Formulas!D145,RIGHT(Formulas!F145)+2),"")))</f>
        <v/>
      </c>
      <c r="E148" s="121" t="str" cm="1">
        <f t="array" aca="1" ref="E148" ca="1">IF(OR(Formulas!F146=0,Formulas!F146=""),"",HYPERLINK("["&amp;Archivo_Nombre&amp;"]Datos!"&amp;LEFT(SUBSTITUTE(ADDRESS(1,Formulas!F146+2),"$",""))&amp;Formulas!E146+1,
IFERROR(INDEX(Datos!$A$2:$K$102,Formulas!E146,Formulas!F146+2),"")))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21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IFERROR(INDEX(Datos!$A$2:$K$102,Formulas!I145,RIGHT(Formulas!K145)+2),"")))</f>
        <v/>
      </c>
      <c r="J148" s="121" t="str" cm="1">
        <f t="array" aca="1" ref="J148" ca="1">IF(OR(Formulas!K146=0,Formulas!K146=""),"",HYPERLINK("["&amp;Archivo_Nombre&amp;"]Datos!"&amp;LEFT(SUBSTITUTE(ADDRESS(1,Formulas!K146+2),"$",""))&amp;Formulas!J146+1,
IFERROR(INDEX(Datos!$A$2:$K$102,Formulas!J146,Formulas!K146+2),"")))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21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IFERROR(INDEX(Datos!$A$2:$K$102,Formulas!N145,RIGHT(Formulas!P145)+2),"")))</f>
        <v/>
      </c>
      <c r="O148" s="121" t="str" cm="1">
        <f t="array" aca="1" ref="O148" ca="1">IF(OR(Formulas!P146=0,Formulas!P146=""),"",HYPERLINK("["&amp;Archivo_Nombre&amp;"]Datos!"&amp;LEFT(SUBSTITUTE(ADDRESS(1,Formulas!P146+2),"$",""))&amp;Formulas!O146+1,
IFERROR(INDEX(Datos!$A$2:$K$102,Formulas!O146,Formulas!P146+2),"")))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21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IFERROR(INDEX(Datos!$A$2:$K$102,Formulas!S145,RIGHT(Formulas!U145)+2),"")))</f>
        <v>Paulina Quishpe</v>
      </c>
      <c r="T148" s="121" t="str" cm="1">
        <f t="array" aca="1" ref="T148" ca="1">IF(OR(Formulas!U146=0,Formulas!U146=""),"",HYPERLINK("["&amp;Archivo_Nombre&amp;"]Datos!"&amp;LEFT(SUBSTITUTE(ADDRESS(1,Formulas!U146+2),"$",""))&amp;Formulas!T146+1,
IFERROR(INDEX(Datos!$A$2:$K$102,Formulas!T146,Formulas!U146+2),"")))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21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IFERROR(INDEX(Datos!$A$2:$K$102,Formulas!X145,RIGHT(Formulas!Z145)+2),"")))</f>
        <v/>
      </c>
      <c r="Y148" s="121" t="str" cm="1">
        <f t="array" aca="1" ref="Y148" ca="1">IF(OR(Formulas!Z146=0,Formulas!Z146=""),"",HYPERLINK("["&amp;Archivo_Nombre&amp;"]Datos!"&amp;LEFT(SUBSTITUTE(ADDRESS(1,Formulas!Z146+2),"$",""))&amp;Formulas!Y146+1,
IFERROR(INDEX(Datos!$A$2:$K$102,Formulas!Y146,Formulas!Z146+2),"")))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21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IFERROR(INDEX(Datos!$A$2:$K$102,Formulas!AC145,RIGHT(Formulas!AE145)+2),"")))</f>
        <v/>
      </c>
      <c r="AD148" s="121" t="str" cm="1">
        <f t="array" aca="1" ref="AD148" ca="1">IF(OR(Formulas!AE146=0,Formulas!AE146=""),"",HYPERLINK("["&amp;Archivo_Nombre&amp;"]Datos!"&amp;LEFT(SUBSTITUTE(ADDRESS(1,Formulas!AE146+2),"$",""))&amp;Formulas!AD146+1,
IFERROR(INDEX(Datos!$A$2:$K$102,Formulas!AD146,Formulas!AE146+2),"")))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21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IFERROR(INDEX(Datos!$A$2:$K$102,Formulas!AH145,RIGHT(Formulas!AJ145)+2),"")))</f>
        <v/>
      </c>
      <c r="AI148" s="121" t="str" cm="1">
        <f t="array" aca="1" ref="AI148" ca="1">IF(OR(Formulas!AJ146=0,Formulas!AJ146=""),"",HYPERLINK("["&amp;Archivo_Nombre&amp;"]Datos!"&amp;LEFT(SUBSTITUTE(ADDRESS(1,Formulas!AJ146+2),"$",""))&amp;Formulas!AI146+1,
IFERROR(INDEX(Datos!$A$2:$K$102,Formulas!AI146,Formulas!AJ146+2),"")))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21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IFERROR(INDEX(Datos!$A$2:$K$102,Formulas!AM145,RIGHT(Formulas!AO145)+2),"")))</f>
        <v/>
      </c>
      <c r="AN148" s="121" t="str" cm="1">
        <f t="array" aca="1" ref="AN148" ca="1">IF(OR(Formulas!AO146=0,Formulas!AO146=""),"",HYPERLINK("["&amp;Archivo_Nombre&amp;"]Datos!"&amp;LEFT(SUBSTITUTE(ADDRESS(1,Formulas!AO146+2),"$",""))&amp;Formulas!AN146+1,
IFERROR(INDEX(Datos!$A$2:$K$102,Formulas!AN146,Formulas!AO146+2),"")))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21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IFERROR(INDEX(Datos!$A$2:$K$102,Formulas!AR145,RIGHT(Formulas!AT145)+2),"")))</f>
        <v/>
      </c>
      <c r="AS148" s="121" t="str" cm="1">
        <f t="array" aca="1" ref="AS148" ca="1">IF(OR(Formulas!AT146=0,Formulas!AT146=""),"",HYPERLINK("["&amp;Archivo_Nombre&amp;"]Datos!"&amp;LEFT(SUBSTITUTE(ADDRESS(1,Formulas!AT146+2),"$",""))&amp;Formulas!AS146+1,
IFERROR(INDEX(Datos!$A$2:$K$102,Formulas!AS146,Formulas!AT146+2),"")))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21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IFERROR(INDEX(Datos!$A$2:$K$102,Formulas!AW145,RIGHT(Formulas!AY145)+2),"")))</f>
        <v/>
      </c>
      <c r="AX148" s="121" t="str" cm="1">
        <f t="array" aca="1" ref="AX148" ca="1">IF(OR(Formulas!AY146=0,Formulas!AY146=""),"",HYPERLINK("["&amp;Archivo_Nombre&amp;"]Datos!"&amp;LEFT(SUBSTITUTE(ADDRESS(1,Formulas!AY146+2),"$",""))&amp;Formulas!AX146+1,
IFERROR(INDEX(Datos!$A$2:$K$102,Formulas!AX146,Formulas!AY146+2),"")))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21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IFERROR(INDEX(Datos!$A$2:$K$102,Formulas!D146,RIGHT(Formulas!F146)+2),"")))</f>
        <v/>
      </c>
      <c r="E149" s="121" t="str" cm="1">
        <f t="array" aca="1" ref="E149" ca="1">IF(OR(Formulas!F147=0,Formulas!F147=""),"",HYPERLINK("["&amp;Archivo_Nombre&amp;"]Datos!"&amp;LEFT(SUBSTITUTE(ADDRESS(1,Formulas!F147+2),"$",""))&amp;Formulas!E147+1,
IFERROR(INDEX(Datos!$A$2:$K$102,Formulas!E147,Formulas!F147+2),"")))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21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IFERROR(INDEX(Datos!$A$2:$K$102,Formulas!I146,RIGHT(Formulas!K146)+2),"")))</f>
        <v/>
      </c>
      <c r="J149" s="121" t="str" cm="1">
        <f t="array" aca="1" ref="J149" ca="1">IF(OR(Formulas!K147=0,Formulas!K147=""),"",HYPERLINK("["&amp;Archivo_Nombre&amp;"]Datos!"&amp;LEFT(SUBSTITUTE(ADDRESS(1,Formulas!K147+2),"$",""))&amp;Formulas!J147+1,
IFERROR(INDEX(Datos!$A$2:$K$102,Formulas!J147,Formulas!K147+2),"")))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21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IFERROR(INDEX(Datos!$A$2:$K$102,Formulas!N146,RIGHT(Formulas!P146)+2),"")))</f>
        <v/>
      </c>
      <c r="O149" s="121" t="str" cm="1">
        <f t="array" aca="1" ref="O149" ca="1">IF(OR(Formulas!P147=0,Formulas!P147=""),"",HYPERLINK("["&amp;Archivo_Nombre&amp;"]Datos!"&amp;LEFT(SUBSTITUTE(ADDRESS(1,Formulas!P147+2),"$",""))&amp;Formulas!O147+1,
IFERROR(INDEX(Datos!$A$2:$K$102,Formulas!O147,Formulas!P147+2),"")))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21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IFERROR(INDEX(Datos!$A$2:$K$102,Formulas!S146,RIGHT(Formulas!U146)+2),"")))</f>
        <v/>
      </c>
      <c r="T149" s="121" t="e" cm="1">
        <f t="array" aca="1" ref="T149" ca="1">IF(OR(Formulas!U147=0,Formulas!U147=""),"",HYPERLINK("["&amp;Archivo_Nombre&amp;"]Datos!"&amp;LEFT(SUBSTITUTE(ADDRESS(1,Formulas!U147+2),"$",""))&amp;Formulas!T147+1,
IFERROR(INDEX(Datos!$A$2:$K$102,Formulas!T147,Formulas!U147+2),"")))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21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IFERROR(INDEX(Datos!$A$2:$K$102,Formulas!X146,RIGHT(Formulas!Z146)+2),"")))</f>
        <v/>
      </c>
      <c r="Y149" s="121" t="str" cm="1">
        <f t="array" aca="1" ref="Y149" ca="1">IF(OR(Formulas!Z147=0,Formulas!Z147=""),"",HYPERLINK("["&amp;Archivo_Nombre&amp;"]Datos!"&amp;LEFT(SUBSTITUTE(ADDRESS(1,Formulas!Z147+2),"$",""))&amp;Formulas!Y147+1,
IFERROR(INDEX(Datos!$A$2:$K$102,Formulas!Y147,Formulas!Z147+2),"")))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21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IFERROR(INDEX(Datos!$A$2:$K$102,Formulas!AC146,RIGHT(Formulas!AE146)+2),"")))</f>
        <v/>
      </c>
      <c r="AD149" s="121" t="str" cm="1">
        <f t="array" aca="1" ref="AD149" ca="1">IF(OR(Formulas!AE147=0,Formulas!AE147=""),"",HYPERLINK("["&amp;Archivo_Nombre&amp;"]Datos!"&amp;LEFT(SUBSTITUTE(ADDRESS(1,Formulas!AE147+2),"$",""))&amp;Formulas!AD147+1,
IFERROR(INDEX(Datos!$A$2:$K$102,Formulas!AD147,Formulas!AE147+2),"")))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21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IFERROR(INDEX(Datos!$A$2:$K$102,Formulas!AH146,RIGHT(Formulas!AJ146)+2),"")))</f>
        <v/>
      </c>
      <c r="AI149" s="121" t="str" cm="1">
        <f t="array" aca="1" ref="AI149" ca="1">IF(OR(Formulas!AJ147=0,Formulas!AJ147=""),"",HYPERLINK("["&amp;Archivo_Nombre&amp;"]Datos!"&amp;LEFT(SUBSTITUTE(ADDRESS(1,Formulas!AJ147+2),"$",""))&amp;Formulas!AI147+1,
IFERROR(INDEX(Datos!$A$2:$K$102,Formulas!AI147,Formulas!AJ147+2),"")))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21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IFERROR(INDEX(Datos!$A$2:$K$102,Formulas!AM146,RIGHT(Formulas!AO146)+2),"")))</f>
        <v/>
      </c>
      <c r="AN149" s="121" t="str" cm="1">
        <f t="array" aca="1" ref="AN149" ca="1">IF(OR(Formulas!AO147=0,Formulas!AO147=""),"",HYPERLINK("["&amp;Archivo_Nombre&amp;"]Datos!"&amp;LEFT(SUBSTITUTE(ADDRESS(1,Formulas!AO147+2),"$",""))&amp;Formulas!AN147+1,
IFERROR(INDEX(Datos!$A$2:$K$102,Formulas!AN147,Formulas!AO147+2),"")))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21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IFERROR(INDEX(Datos!$A$2:$K$102,Formulas!AR146,RIGHT(Formulas!AT146)+2),"")))</f>
        <v/>
      </c>
      <c r="AS149" s="121" t="str" cm="1">
        <f t="array" aca="1" ref="AS149" ca="1">IF(OR(Formulas!AT147=0,Formulas!AT147=""),"",HYPERLINK("["&amp;Archivo_Nombre&amp;"]Datos!"&amp;LEFT(SUBSTITUTE(ADDRESS(1,Formulas!AT147+2),"$",""))&amp;Formulas!AS147+1,
IFERROR(INDEX(Datos!$A$2:$K$102,Formulas!AS147,Formulas!AT147+2),"")))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21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IFERROR(INDEX(Datos!$A$2:$K$102,Formulas!AW146,RIGHT(Formulas!AY146)+2),"")))</f>
        <v/>
      </c>
      <c r="AX149" s="121" t="str" cm="1">
        <f t="array" aca="1" ref="AX149" ca="1">IF(OR(Formulas!AY147=0,Formulas!AY147=""),"",HYPERLINK("["&amp;Archivo_Nombre&amp;"]Datos!"&amp;LEFT(SUBSTITUTE(ADDRESS(1,Formulas!AY147+2),"$",""))&amp;Formulas!AX147+1,
IFERROR(INDEX(Datos!$A$2:$K$102,Formulas!AX147,Formulas!AY147+2),"")))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21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IFERROR(INDEX(Datos!$A$2:$K$102,Formulas!D147,RIGHT(Formulas!F147)+2),"")))</f>
        <v/>
      </c>
      <c r="E150" s="121" t="str" cm="1">
        <f t="array" aca="1" ref="E150" ca="1">IF(OR(Formulas!F148=0,Formulas!F148=""),"",HYPERLINK("["&amp;Archivo_Nombre&amp;"]Datos!"&amp;LEFT(SUBSTITUTE(ADDRESS(1,Formulas!F148+2),"$",""))&amp;Formulas!E148+1,
IFERROR(INDEX(Datos!$A$2:$K$102,Formulas!E148,Formulas!F148+2),"")))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21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IFERROR(INDEX(Datos!$A$2:$K$102,Formulas!I147,RIGHT(Formulas!K147)+2),"")))</f>
        <v/>
      </c>
      <c r="J150" s="121" t="str" cm="1">
        <f t="array" aca="1" ref="J150" ca="1">IF(OR(Formulas!K148=0,Formulas!K148=""),"",HYPERLINK("["&amp;Archivo_Nombre&amp;"]Datos!"&amp;LEFT(SUBSTITUTE(ADDRESS(1,Formulas!K148+2),"$",""))&amp;Formulas!J148+1,
IFERROR(INDEX(Datos!$A$2:$K$102,Formulas!J148,Formulas!K148+2),"")))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21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IFERROR(INDEX(Datos!$A$2:$K$102,Formulas!N147,RIGHT(Formulas!P147)+2),"")))</f>
        <v/>
      </c>
      <c r="O150" s="121" t="str" cm="1">
        <f t="array" aca="1" ref="O150" ca="1">IF(OR(Formulas!P148=0,Formulas!P148=""),"",HYPERLINK("["&amp;Archivo_Nombre&amp;"]Datos!"&amp;LEFT(SUBSTITUTE(ADDRESS(1,Formulas!P148+2),"$",""))&amp;Formulas!O148+1,
IFERROR(INDEX(Datos!$A$2:$K$102,Formulas!O148,Formulas!P148+2),"")))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42:</v>
      </c>
      <c r="S150" s="121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IFERROR(INDEX(Datos!$A$2:$K$102,Formulas!S147,RIGHT(Formulas!U147)+2),"")))</f>
        <v>REQ005-2  Desarrollar sistema de control de versiones que guarde automáticamente cada modificación con fecha, hora y usuario.</v>
      </c>
      <c r="T150" s="121" t="e" cm="1">
        <f t="array" aca="1" ref="T150" ca="1">IF(OR(Formulas!U148=0,Formulas!U148=""),"",HYPERLINK("["&amp;Archivo_Nombre&amp;"]Datos!"&amp;LEFT(SUBSTITUTE(ADDRESS(1,Formulas!U148+2),"$",""))&amp;Formulas!T148+1,
IFERROR(INDEX(Datos!$A$2:$K$102,Formulas!T148,Formulas!U148+2),"")))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21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IFERROR(INDEX(Datos!$A$2:$K$102,Formulas!X147,RIGHT(Formulas!Z147)+2),"")))</f>
        <v/>
      </c>
      <c r="Y150" s="121" t="str" cm="1">
        <f t="array" aca="1" ref="Y150" ca="1">IF(OR(Formulas!Z148=0,Formulas!Z148=""),"",HYPERLINK("["&amp;Archivo_Nombre&amp;"]Datos!"&amp;LEFT(SUBSTITUTE(ADDRESS(1,Formulas!Z148+2),"$",""))&amp;Formulas!Y148+1,
IFERROR(INDEX(Datos!$A$2:$K$102,Formulas!Y148,Formulas!Z148+2),"")))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21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IFERROR(INDEX(Datos!$A$2:$K$102,Formulas!AC147,RIGHT(Formulas!AE147)+2),"")))</f>
        <v/>
      </c>
      <c r="AD150" s="121" t="str" cm="1">
        <f t="array" aca="1" ref="AD150" ca="1">IF(OR(Formulas!AE148=0,Formulas!AE148=""),"",HYPERLINK("["&amp;Archivo_Nombre&amp;"]Datos!"&amp;LEFT(SUBSTITUTE(ADDRESS(1,Formulas!AE148+2),"$",""))&amp;Formulas!AD148+1,
IFERROR(INDEX(Datos!$A$2:$K$102,Formulas!AD148,Formulas!AE148+2),"")))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21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IFERROR(INDEX(Datos!$A$2:$K$102,Formulas!AH147,RIGHT(Formulas!AJ147)+2),"")))</f>
        <v/>
      </c>
      <c r="AI150" s="121" t="str" cm="1">
        <f t="array" aca="1" ref="AI150" ca="1">IF(OR(Formulas!AJ148=0,Formulas!AJ148=""),"",HYPERLINK("["&amp;Archivo_Nombre&amp;"]Datos!"&amp;LEFT(SUBSTITUTE(ADDRESS(1,Formulas!AJ148+2),"$",""))&amp;Formulas!AI148+1,
IFERROR(INDEX(Datos!$A$2:$K$102,Formulas!AI148,Formulas!AJ148+2),"")))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21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IFERROR(INDEX(Datos!$A$2:$K$102,Formulas!AM147,RIGHT(Formulas!AO147)+2),"")))</f>
        <v/>
      </c>
      <c r="AN150" s="121" t="str" cm="1">
        <f t="array" aca="1" ref="AN150" ca="1">IF(OR(Formulas!AO148=0,Formulas!AO148=""),"",HYPERLINK("["&amp;Archivo_Nombre&amp;"]Datos!"&amp;LEFT(SUBSTITUTE(ADDRESS(1,Formulas!AO148+2),"$",""))&amp;Formulas!AN148+1,
IFERROR(INDEX(Datos!$A$2:$K$102,Formulas!AN148,Formulas!AO148+2),"")))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21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IFERROR(INDEX(Datos!$A$2:$K$102,Formulas!AR147,RIGHT(Formulas!AT147)+2),"")))</f>
        <v/>
      </c>
      <c r="AS150" s="121" t="str" cm="1">
        <f t="array" aca="1" ref="AS150" ca="1">IF(OR(Formulas!AT148=0,Formulas!AT148=""),"",HYPERLINK("["&amp;Archivo_Nombre&amp;"]Datos!"&amp;LEFT(SUBSTITUTE(ADDRESS(1,Formulas!AT148+2),"$",""))&amp;Formulas!AS148+1,
IFERROR(INDEX(Datos!$A$2:$K$102,Formulas!AS148,Formulas!AT148+2),"")))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21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IFERROR(INDEX(Datos!$A$2:$K$102,Formulas!AW147,RIGHT(Formulas!AY147)+2),"")))</f>
        <v/>
      </c>
      <c r="AX150" s="121" t="str" cm="1">
        <f t="array" aca="1" ref="AX150" ca="1">IF(OR(Formulas!AY148=0,Formulas!AY148=""),"",HYPERLINK("["&amp;Archivo_Nombre&amp;"]Datos!"&amp;LEFT(SUBSTITUTE(ADDRESS(1,Formulas!AY148+2),"$",""))&amp;Formulas!AX148+1,
IFERROR(INDEX(Datos!$A$2:$K$102,Formulas!AX148,Formulas!AY148+2),"")))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21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IFERROR(INDEX(Datos!$A$2:$K$102,Formulas!D148,RIGHT(Formulas!F148)+2),"")))</f>
        <v/>
      </c>
      <c r="E151" s="121" t="str" cm="1">
        <f t="array" aca="1" ref="E151" ca="1">IF(OR(Formulas!F149=0,Formulas!F149=""),"",HYPERLINK("["&amp;Archivo_Nombre&amp;"]Datos!"&amp;LEFT(SUBSTITUTE(ADDRESS(1,Formulas!F149+2),"$",""))&amp;Formulas!E149+1,
IFERROR(INDEX(Datos!$A$2:$K$102,Formulas!E149,Formulas!F149+2),"")))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21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IFERROR(INDEX(Datos!$A$2:$K$102,Formulas!I148,RIGHT(Formulas!K148)+2),"")))</f>
        <v/>
      </c>
      <c r="J151" s="121" t="str" cm="1">
        <f t="array" aca="1" ref="J151" ca="1">IF(OR(Formulas!K149=0,Formulas!K149=""),"",HYPERLINK("["&amp;Archivo_Nombre&amp;"]Datos!"&amp;LEFT(SUBSTITUTE(ADDRESS(1,Formulas!K149+2),"$",""))&amp;Formulas!J149+1,
IFERROR(INDEX(Datos!$A$2:$K$102,Formulas!J149,Formulas!K149+2),"")))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21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IFERROR(INDEX(Datos!$A$2:$K$102,Formulas!N148,RIGHT(Formulas!P148)+2),"")))</f>
        <v/>
      </c>
      <c r="O151" s="121" t="str" cm="1">
        <f t="array" aca="1" ref="O151" ca="1">IF(OR(Formulas!P149=0,Formulas!P149=""),"",HYPERLINK("["&amp;Archivo_Nombre&amp;"]Datos!"&amp;LEFT(SUBSTITUTE(ADDRESS(1,Formulas!P149+2),"$",""))&amp;Formulas!O149+1,
IFERROR(INDEX(Datos!$A$2:$K$102,Formulas!O149,Formulas!P149+2),"")))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21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IFERROR(INDEX(Datos!$A$2:$K$102,Formulas!S148,RIGHT(Formulas!U148)+2),"")))</f>
        <v>Desarrollar sistema de control de versiones que guarde automáticamente cada modificación con fecha, hora y usuario.</v>
      </c>
      <c r="T151" s="121" t="e" cm="1">
        <f t="array" aca="1" ref="T151" ca="1">IF(OR(Formulas!U149=0,Formulas!U149=""),"",HYPERLINK("["&amp;Archivo_Nombre&amp;"]Datos!"&amp;LEFT(SUBSTITUTE(ADDRESS(1,Formulas!U149+2),"$",""))&amp;Formulas!T149+1,
IFERROR(INDEX(Datos!$A$2:$K$102,Formulas!T149,Formulas!U149+2),"")))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21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IFERROR(INDEX(Datos!$A$2:$K$102,Formulas!X148,RIGHT(Formulas!Z148)+2),"")))</f>
        <v/>
      </c>
      <c r="Y151" s="121" t="str" cm="1">
        <f t="array" aca="1" ref="Y151" ca="1">IF(OR(Formulas!Z149=0,Formulas!Z149=""),"",HYPERLINK("["&amp;Archivo_Nombre&amp;"]Datos!"&amp;LEFT(SUBSTITUTE(ADDRESS(1,Formulas!Z149+2),"$",""))&amp;Formulas!Y149+1,
IFERROR(INDEX(Datos!$A$2:$K$102,Formulas!Y149,Formulas!Z149+2),"")))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21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IFERROR(INDEX(Datos!$A$2:$K$102,Formulas!AC148,RIGHT(Formulas!AE148)+2),"")))</f>
        <v/>
      </c>
      <c r="AD151" s="121" t="str" cm="1">
        <f t="array" aca="1" ref="AD151" ca="1">IF(OR(Formulas!AE149=0,Formulas!AE149=""),"",HYPERLINK("["&amp;Archivo_Nombre&amp;"]Datos!"&amp;LEFT(SUBSTITUTE(ADDRESS(1,Formulas!AE149+2),"$",""))&amp;Formulas!AD149+1,
IFERROR(INDEX(Datos!$A$2:$K$102,Formulas!AD149,Formulas!AE149+2),"")))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21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IFERROR(INDEX(Datos!$A$2:$K$102,Formulas!AH148,RIGHT(Formulas!AJ148)+2),"")))</f>
        <v/>
      </c>
      <c r="AI151" s="121" t="str" cm="1">
        <f t="array" aca="1" ref="AI151" ca="1">IF(OR(Formulas!AJ149=0,Formulas!AJ149=""),"",HYPERLINK("["&amp;Archivo_Nombre&amp;"]Datos!"&amp;LEFT(SUBSTITUTE(ADDRESS(1,Formulas!AJ149+2),"$",""))&amp;Formulas!AI149+1,
IFERROR(INDEX(Datos!$A$2:$K$102,Formulas!AI149,Formulas!AJ149+2),"")))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21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IFERROR(INDEX(Datos!$A$2:$K$102,Formulas!AM148,RIGHT(Formulas!AO148)+2),"")))</f>
        <v/>
      </c>
      <c r="AN151" s="121" t="str" cm="1">
        <f t="array" aca="1" ref="AN151" ca="1">IF(OR(Formulas!AO149=0,Formulas!AO149=""),"",HYPERLINK("["&amp;Archivo_Nombre&amp;"]Datos!"&amp;LEFT(SUBSTITUTE(ADDRESS(1,Formulas!AO149+2),"$",""))&amp;Formulas!AN149+1,
IFERROR(INDEX(Datos!$A$2:$K$102,Formulas!AN149,Formulas!AO149+2),"")))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21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IFERROR(INDEX(Datos!$A$2:$K$102,Formulas!AR148,RIGHT(Formulas!AT148)+2),"")))</f>
        <v/>
      </c>
      <c r="AS151" s="121" t="str" cm="1">
        <f t="array" aca="1" ref="AS151" ca="1">IF(OR(Formulas!AT149=0,Formulas!AT149=""),"",HYPERLINK("["&amp;Archivo_Nombre&amp;"]Datos!"&amp;LEFT(SUBSTITUTE(ADDRESS(1,Formulas!AT149+2),"$",""))&amp;Formulas!AS149+1,
IFERROR(INDEX(Datos!$A$2:$K$102,Formulas!AS149,Formulas!AT149+2),"")))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21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IFERROR(INDEX(Datos!$A$2:$K$102,Formulas!AW148,RIGHT(Formulas!AY148)+2),"")))</f>
        <v/>
      </c>
      <c r="AX151" s="121" t="str" cm="1">
        <f t="array" aca="1" ref="AX151" ca="1">IF(OR(Formulas!AY149=0,Formulas!AY149=""),"",HYPERLINK("["&amp;Archivo_Nombre&amp;"]Datos!"&amp;LEFT(SUBSTITUTE(ADDRESS(1,Formulas!AY149+2),"$",""))&amp;Formulas!AX149+1,
IFERROR(INDEX(Datos!$A$2:$K$102,Formulas!AX149,Formulas!AY149+2),"")))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21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IFERROR(INDEX(Datos!$A$2:$K$102,Formulas!D149,RIGHT(Formulas!F149)+2),"")))</f>
        <v/>
      </c>
      <c r="E152" s="121" t="str" cm="1">
        <f t="array" aca="1" ref="E152" ca="1">IF(OR(Formulas!F150=0,Formulas!F150=""),"",HYPERLINK("["&amp;Archivo_Nombre&amp;"]Datos!"&amp;LEFT(SUBSTITUTE(ADDRESS(1,Formulas!F150+2),"$",""))&amp;Formulas!E150+1,
IFERROR(INDEX(Datos!$A$2:$K$102,Formulas!E150,Formulas!F150+2),"")))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21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IFERROR(INDEX(Datos!$A$2:$K$102,Formulas!I149,RIGHT(Formulas!K149)+2),"")))</f>
        <v/>
      </c>
      <c r="J152" s="121" t="str" cm="1">
        <f t="array" aca="1" ref="J152" ca="1">IF(OR(Formulas!K150=0,Formulas!K150=""),"",HYPERLINK("["&amp;Archivo_Nombre&amp;"]Datos!"&amp;LEFT(SUBSTITUTE(ADDRESS(1,Formulas!K150+2),"$",""))&amp;Formulas!J150+1,
IFERROR(INDEX(Datos!$A$2:$K$102,Formulas!J150,Formulas!K150+2),"")))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21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IFERROR(INDEX(Datos!$A$2:$K$102,Formulas!N149,RIGHT(Formulas!P149)+2),"")))</f>
        <v/>
      </c>
      <c r="O152" s="121" t="str" cm="1">
        <f t="array" aca="1" ref="O152" ca="1">IF(OR(Formulas!P150=0,Formulas!P150=""),"",HYPERLINK("["&amp;Archivo_Nombre&amp;"]Datos!"&amp;LEFT(SUBSTITUTE(ADDRESS(1,Formulas!P150+2),"$",""))&amp;Formulas!O150+1,
IFERROR(INDEX(Datos!$A$2:$K$102,Formulas!O150,Formulas!P150+2),"")))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21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IFERROR(INDEX(Datos!$A$2:$K$102,Formulas!S149,RIGHT(Formulas!U149)+2),"")))</f>
        <v>45854</v>
      </c>
      <c r="T152" s="121" t="e" cm="1">
        <f t="array" aca="1" ref="T152" ca="1">IF(OR(Formulas!U150=0,Formulas!U150=""),"",HYPERLINK("["&amp;Archivo_Nombre&amp;"]Datos!"&amp;LEFT(SUBSTITUTE(ADDRESS(1,Formulas!U150+2),"$",""))&amp;Formulas!T150+1,
IFERROR(INDEX(Datos!$A$2:$K$102,Formulas!T150,Formulas!U150+2),"")))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21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IFERROR(INDEX(Datos!$A$2:$K$102,Formulas!X149,RIGHT(Formulas!Z149)+2),"")))</f>
        <v/>
      </c>
      <c r="Y152" s="121" t="str" cm="1">
        <f t="array" aca="1" ref="Y152" ca="1">IF(OR(Formulas!Z150=0,Formulas!Z150=""),"",HYPERLINK("["&amp;Archivo_Nombre&amp;"]Datos!"&amp;LEFT(SUBSTITUTE(ADDRESS(1,Formulas!Z150+2),"$",""))&amp;Formulas!Y150+1,
IFERROR(INDEX(Datos!$A$2:$K$102,Formulas!Y150,Formulas!Z150+2),"")))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21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IFERROR(INDEX(Datos!$A$2:$K$102,Formulas!AC149,RIGHT(Formulas!AE149)+2),"")))</f>
        <v/>
      </c>
      <c r="AD152" s="121" t="str" cm="1">
        <f t="array" aca="1" ref="AD152" ca="1">IF(OR(Formulas!AE150=0,Formulas!AE150=""),"",HYPERLINK("["&amp;Archivo_Nombre&amp;"]Datos!"&amp;LEFT(SUBSTITUTE(ADDRESS(1,Formulas!AE150+2),"$",""))&amp;Formulas!AD150+1,
IFERROR(INDEX(Datos!$A$2:$K$102,Formulas!AD150,Formulas!AE150+2),"")))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21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IFERROR(INDEX(Datos!$A$2:$K$102,Formulas!AH149,RIGHT(Formulas!AJ149)+2),"")))</f>
        <v/>
      </c>
      <c r="AI152" s="121" t="str" cm="1">
        <f t="array" aca="1" ref="AI152" ca="1">IF(OR(Formulas!AJ150=0,Formulas!AJ150=""),"",HYPERLINK("["&amp;Archivo_Nombre&amp;"]Datos!"&amp;LEFT(SUBSTITUTE(ADDRESS(1,Formulas!AJ150+2),"$",""))&amp;Formulas!AI150+1,
IFERROR(INDEX(Datos!$A$2:$K$102,Formulas!AI150,Formulas!AJ150+2),"")))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21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IFERROR(INDEX(Datos!$A$2:$K$102,Formulas!AM149,RIGHT(Formulas!AO149)+2),"")))</f>
        <v/>
      </c>
      <c r="AN152" s="121" t="str" cm="1">
        <f t="array" aca="1" ref="AN152" ca="1">IF(OR(Formulas!AO150=0,Formulas!AO150=""),"",HYPERLINK("["&amp;Archivo_Nombre&amp;"]Datos!"&amp;LEFT(SUBSTITUTE(ADDRESS(1,Formulas!AO150+2),"$",""))&amp;Formulas!AN150+1,
IFERROR(INDEX(Datos!$A$2:$K$102,Formulas!AN150,Formulas!AO150+2),"")))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21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IFERROR(INDEX(Datos!$A$2:$K$102,Formulas!AR149,RIGHT(Formulas!AT149)+2),"")))</f>
        <v/>
      </c>
      <c r="AS152" s="121" t="str" cm="1">
        <f t="array" aca="1" ref="AS152" ca="1">IF(OR(Formulas!AT150=0,Formulas!AT150=""),"",HYPERLINK("["&amp;Archivo_Nombre&amp;"]Datos!"&amp;LEFT(SUBSTITUTE(ADDRESS(1,Formulas!AT150+2),"$",""))&amp;Formulas!AS150+1,
IFERROR(INDEX(Datos!$A$2:$K$102,Formulas!AS150,Formulas!AT150+2),"")))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21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IFERROR(INDEX(Datos!$A$2:$K$102,Formulas!AW149,RIGHT(Formulas!AY149)+2),"")))</f>
        <v/>
      </c>
      <c r="AX152" s="121" t="str" cm="1">
        <f t="array" aca="1" ref="AX152" ca="1">IF(OR(Formulas!AY150=0,Formulas!AY150=""),"",HYPERLINK("["&amp;Archivo_Nombre&amp;"]Datos!"&amp;LEFT(SUBSTITUTE(ADDRESS(1,Formulas!AY150+2),"$",""))&amp;Formulas!AX150+1,
IFERROR(INDEX(Datos!$A$2:$K$102,Formulas!AX150,Formulas!AY150+2),"")))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21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IFERROR(INDEX(Datos!$A$2:$K$102,Formulas!D150,RIGHT(Formulas!F150)+2),"")))</f>
        <v/>
      </c>
      <c r="E153" s="121" t="str" cm="1">
        <f t="array" aca="1" ref="E153" ca="1">IF(OR(Formulas!F151=0,Formulas!F151=""),"",HYPERLINK("["&amp;Archivo_Nombre&amp;"]Datos!"&amp;LEFT(SUBSTITUTE(ADDRESS(1,Formulas!F151+2),"$",""))&amp;Formulas!E151+1,
IFERROR(INDEX(Datos!$A$2:$K$102,Formulas!E151,Formulas!F151+2),"")))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21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IFERROR(INDEX(Datos!$A$2:$K$102,Formulas!I150,RIGHT(Formulas!K150)+2),"")))</f>
        <v/>
      </c>
      <c r="J153" s="121" t="str" cm="1">
        <f t="array" aca="1" ref="J153" ca="1">IF(OR(Formulas!K151=0,Formulas!K151=""),"",HYPERLINK("["&amp;Archivo_Nombre&amp;"]Datos!"&amp;LEFT(SUBSTITUTE(ADDRESS(1,Formulas!K151+2),"$",""))&amp;Formulas!J151+1,
IFERROR(INDEX(Datos!$A$2:$K$102,Formulas!J151,Formulas!K151+2),"")))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21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IFERROR(INDEX(Datos!$A$2:$K$102,Formulas!N150,RIGHT(Formulas!P150)+2),"")))</f>
        <v/>
      </c>
      <c r="O153" s="121" t="str" cm="1">
        <f t="array" aca="1" ref="O153" ca="1">IF(OR(Formulas!P151=0,Formulas!P151=""),"",HYPERLINK("["&amp;Archivo_Nombre&amp;"]Datos!"&amp;LEFT(SUBSTITUTE(ADDRESS(1,Formulas!P151+2),"$",""))&amp;Formulas!O151+1,
IFERROR(INDEX(Datos!$A$2:$K$102,Formulas!O151,Formulas!P151+2),"")))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21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IFERROR(INDEX(Datos!$A$2:$K$102,Formulas!S150,RIGHT(Formulas!U150)+2),"")))</f>
        <v>45857</v>
      </c>
      <c r="T153" s="121" t="e" cm="1">
        <f t="array" aca="1" ref="T153" ca="1">IF(OR(Formulas!U151=0,Formulas!U151=""),"",HYPERLINK("["&amp;Archivo_Nombre&amp;"]Datos!"&amp;LEFT(SUBSTITUTE(ADDRESS(1,Formulas!U151+2),"$",""))&amp;Formulas!T151+1,
IFERROR(INDEX(Datos!$A$2:$K$102,Formulas!T151,Formulas!U151+2),"")))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21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IFERROR(INDEX(Datos!$A$2:$K$102,Formulas!X150,RIGHT(Formulas!Z150)+2),"")))</f>
        <v/>
      </c>
      <c r="Y153" s="121" t="str" cm="1">
        <f t="array" aca="1" ref="Y153" ca="1">IF(OR(Formulas!Z151=0,Formulas!Z151=""),"",HYPERLINK("["&amp;Archivo_Nombre&amp;"]Datos!"&amp;LEFT(SUBSTITUTE(ADDRESS(1,Formulas!Z151+2),"$",""))&amp;Formulas!Y151+1,
IFERROR(INDEX(Datos!$A$2:$K$102,Formulas!Y151,Formulas!Z151+2),"")))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21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IFERROR(INDEX(Datos!$A$2:$K$102,Formulas!AC150,RIGHT(Formulas!AE150)+2),"")))</f>
        <v/>
      </c>
      <c r="AD153" s="121" t="str" cm="1">
        <f t="array" aca="1" ref="AD153" ca="1">IF(OR(Formulas!AE151=0,Formulas!AE151=""),"",HYPERLINK("["&amp;Archivo_Nombre&amp;"]Datos!"&amp;LEFT(SUBSTITUTE(ADDRESS(1,Formulas!AE151+2),"$",""))&amp;Formulas!AD151+1,
IFERROR(INDEX(Datos!$A$2:$K$102,Formulas!AD151,Formulas!AE151+2),"")))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21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IFERROR(INDEX(Datos!$A$2:$K$102,Formulas!AH150,RIGHT(Formulas!AJ150)+2),"")))</f>
        <v/>
      </c>
      <c r="AI153" s="121" t="str" cm="1">
        <f t="array" aca="1" ref="AI153" ca="1">IF(OR(Formulas!AJ151=0,Formulas!AJ151=""),"",HYPERLINK("["&amp;Archivo_Nombre&amp;"]Datos!"&amp;LEFT(SUBSTITUTE(ADDRESS(1,Formulas!AJ151+2),"$",""))&amp;Formulas!AI151+1,
IFERROR(INDEX(Datos!$A$2:$K$102,Formulas!AI151,Formulas!AJ151+2),"")))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21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IFERROR(INDEX(Datos!$A$2:$K$102,Formulas!AM150,RIGHT(Formulas!AO150)+2),"")))</f>
        <v/>
      </c>
      <c r="AN153" s="121" t="str" cm="1">
        <f t="array" aca="1" ref="AN153" ca="1">IF(OR(Formulas!AO151=0,Formulas!AO151=""),"",HYPERLINK("["&amp;Archivo_Nombre&amp;"]Datos!"&amp;LEFT(SUBSTITUTE(ADDRESS(1,Formulas!AO151+2),"$",""))&amp;Formulas!AN151+1,
IFERROR(INDEX(Datos!$A$2:$K$102,Formulas!AN151,Formulas!AO151+2),"")))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21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IFERROR(INDEX(Datos!$A$2:$K$102,Formulas!AR150,RIGHT(Formulas!AT150)+2),"")))</f>
        <v/>
      </c>
      <c r="AS153" s="121" t="str" cm="1">
        <f t="array" aca="1" ref="AS153" ca="1">IF(OR(Formulas!AT151=0,Formulas!AT151=""),"",HYPERLINK("["&amp;Archivo_Nombre&amp;"]Datos!"&amp;LEFT(SUBSTITUTE(ADDRESS(1,Formulas!AT151+2),"$",""))&amp;Formulas!AS151+1,
IFERROR(INDEX(Datos!$A$2:$K$102,Formulas!AS151,Formulas!AT151+2),"")))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21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IFERROR(INDEX(Datos!$A$2:$K$102,Formulas!AW150,RIGHT(Formulas!AY150)+2),"")))</f>
        <v/>
      </c>
      <c r="AX153" s="121" t="str" cm="1">
        <f t="array" aca="1" ref="AX153" ca="1">IF(OR(Formulas!AY151=0,Formulas!AY151=""),"",HYPERLINK("["&amp;Archivo_Nombre&amp;"]Datos!"&amp;LEFT(SUBSTITUTE(ADDRESS(1,Formulas!AY151+2),"$",""))&amp;Formulas!AX151+1,
IFERROR(INDEX(Datos!$A$2:$K$102,Formulas!AX151,Formulas!AY151+2),"")))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21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IFERROR(INDEX(Datos!$A$2:$K$102,Formulas!D151,RIGHT(Formulas!F151)+2),"")))</f>
        <v/>
      </c>
      <c r="E154" s="121" t="str" cm="1">
        <f t="array" aca="1" ref="E154" ca="1">IF(OR(Formulas!F152=0,Formulas!F152=""),"",HYPERLINK("["&amp;Archivo_Nombre&amp;"]Datos!"&amp;LEFT(SUBSTITUTE(ADDRESS(1,Formulas!F152+2),"$",""))&amp;Formulas!E152+1,
IFERROR(INDEX(Datos!$A$2:$K$102,Formulas!E152,Formulas!F152+2),"")))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21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IFERROR(INDEX(Datos!$A$2:$K$102,Formulas!I151,RIGHT(Formulas!K151)+2),"")))</f>
        <v/>
      </c>
      <c r="J154" s="121" t="str" cm="1">
        <f t="array" aca="1" ref="J154" ca="1">IF(OR(Formulas!K152=0,Formulas!K152=""),"",HYPERLINK("["&amp;Archivo_Nombre&amp;"]Datos!"&amp;LEFT(SUBSTITUTE(ADDRESS(1,Formulas!K152+2),"$",""))&amp;Formulas!J152+1,
IFERROR(INDEX(Datos!$A$2:$K$102,Formulas!J152,Formulas!K152+2),"")))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21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IFERROR(INDEX(Datos!$A$2:$K$102,Formulas!N151,RIGHT(Formulas!P151)+2),"")))</f>
        <v/>
      </c>
      <c r="O154" s="121" t="str" cm="1">
        <f t="array" aca="1" ref="O154" ca="1">IF(OR(Formulas!P152=0,Formulas!P152=""),"",HYPERLINK("["&amp;Archivo_Nombre&amp;"]Datos!"&amp;LEFT(SUBSTITUTE(ADDRESS(1,Formulas!P152+2),"$",""))&amp;Formulas!O152+1,
IFERROR(INDEX(Datos!$A$2:$K$102,Formulas!O152,Formulas!P152+2),"")))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21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IFERROR(INDEX(Datos!$A$2:$K$102,Formulas!S151,RIGHT(Formulas!U151)+2),"")))</f>
        <v>45857</v>
      </c>
      <c r="T154" s="121" t="e" cm="1">
        <f t="array" aca="1" ref="T154" ca="1">IF(OR(Formulas!U152=0,Formulas!U152=""),"",HYPERLINK("["&amp;Archivo_Nombre&amp;"]Datos!"&amp;LEFT(SUBSTITUTE(ADDRESS(1,Formulas!U152+2),"$",""))&amp;Formulas!T152+1,
IFERROR(INDEX(Datos!$A$2:$K$102,Formulas!T152,Formulas!U152+2),"")))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21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IFERROR(INDEX(Datos!$A$2:$K$102,Formulas!X151,RIGHT(Formulas!Z151)+2),"")))</f>
        <v/>
      </c>
      <c r="Y154" s="121" t="str" cm="1">
        <f t="array" aca="1" ref="Y154" ca="1">IF(OR(Formulas!Z152=0,Formulas!Z152=""),"",HYPERLINK("["&amp;Archivo_Nombre&amp;"]Datos!"&amp;LEFT(SUBSTITUTE(ADDRESS(1,Formulas!Z152+2),"$",""))&amp;Formulas!Y152+1,
IFERROR(INDEX(Datos!$A$2:$K$102,Formulas!Y152,Formulas!Z152+2),"")))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21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IFERROR(INDEX(Datos!$A$2:$K$102,Formulas!AC151,RIGHT(Formulas!AE151)+2),"")))</f>
        <v/>
      </c>
      <c r="AD154" s="121" t="str" cm="1">
        <f t="array" aca="1" ref="AD154" ca="1">IF(OR(Formulas!AE152=0,Formulas!AE152=""),"",HYPERLINK("["&amp;Archivo_Nombre&amp;"]Datos!"&amp;LEFT(SUBSTITUTE(ADDRESS(1,Formulas!AE152+2),"$",""))&amp;Formulas!AD152+1,
IFERROR(INDEX(Datos!$A$2:$K$102,Formulas!AD152,Formulas!AE152+2),"")))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21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IFERROR(INDEX(Datos!$A$2:$K$102,Formulas!AH151,RIGHT(Formulas!AJ151)+2),"")))</f>
        <v/>
      </c>
      <c r="AI154" s="121" t="str" cm="1">
        <f t="array" aca="1" ref="AI154" ca="1">IF(OR(Formulas!AJ152=0,Formulas!AJ152=""),"",HYPERLINK("["&amp;Archivo_Nombre&amp;"]Datos!"&amp;LEFT(SUBSTITUTE(ADDRESS(1,Formulas!AJ152+2),"$",""))&amp;Formulas!AI152+1,
IFERROR(INDEX(Datos!$A$2:$K$102,Formulas!AI152,Formulas!AJ152+2),"")))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21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IFERROR(INDEX(Datos!$A$2:$K$102,Formulas!AM151,RIGHT(Formulas!AO151)+2),"")))</f>
        <v/>
      </c>
      <c r="AN154" s="121" t="str" cm="1">
        <f t="array" aca="1" ref="AN154" ca="1">IF(OR(Formulas!AO152=0,Formulas!AO152=""),"",HYPERLINK("["&amp;Archivo_Nombre&amp;"]Datos!"&amp;LEFT(SUBSTITUTE(ADDRESS(1,Formulas!AO152+2),"$",""))&amp;Formulas!AN152+1,
IFERROR(INDEX(Datos!$A$2:$K$102,Formulas!AN152,Formulas!AO152+2),"")))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21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IFERROR(INDEX(Datos!$A$2:$K$102,Formulas!AR151,RIGHT(Formulas!AT151)+2),"")))</f>
        <v/>
      </c>
      <c r="AS154" s="121" t="str" cm="1">
        <f t="array" aca="1" ref="AS154" ca="1">IF(OR(Formulas!AT152=0,Formulas!AT152=""),"",HYPERLINK("["&amp;Archivo_Nombre&amp;"]Datos!"&amp;LEFT(SUBSTITUTE(ADDRESS(1,Formulas!AT152+2),"$",""))&amp;Formulas!AS152+1,
IFERROR(INDEX(Datos!$A$2:$K$102,Formulas!AS152,Formulas!AT152+2),"")))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21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IFERROR(INDEX(Datos!$A$2:$K$102,Formulas!AW151,RIGHT(Formulas!AY151)+2),"")))</f>
        <v/>
      </c>
      <c r="AX154" s="121" t="str" cm="1">
        <f t="array" aca="1" ref="AX154" ca="1">IF(OR(Formulas!AY152=0,Formulas!AY152=""),"",HYPERLINK("["&amp;Archivo_Nombre&amp;"]Datos!"&amp;LEFT(SUBSTITUTE(ADDRESS(1,Formulas!AY152+2),"$",""))&amp;Formulas!AX152+1,
IFERROR(INDEX(Datos!$A$2:$K$102,Formulas!AX152,Formulas!AY152+2),"")))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21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IFERROR(INDEX(Datos!$A$2:$K$102,Formulas!D152,RIGHT(Formulas!F152)+2),"")))</f>
        <v/>
      </c>
      <c r="E155" s="121" t="str" cm="1">
        <f t="array" aca="1" ref="E155" ca="1">IF(OR(Formulas!F153=0,Formulas!F153=""),"",HYPERLINK("["&amp;Archivo_Nombre&amp;"]Datos!"&amp;LEFT(SUBSTITUTE(ADDRESS(1,Formulas!F153+2),"$",""))&amp;Formulas!E153+1,
IFERROR(INDEX(Datos!$A$2:$K$102,Formulas!E153,Formulas!F153+2),"")))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21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IFERROR(INDEX(Datos!$A$2:$K$102,Formulas!I152,RIGHT(Formulas!K152)+2),"")))</f>
        <v/>
      </c>
      <c r="J155" s="121" t="str" cm="1">
        <f t="array" aca="1" ref="J155" ca="1">IF(OR(Formulas!K153=0,Formulas!K153=""),"",HYPERLINK("["&amp;Archivo_Nombre&amp;"]Datos!"&amp;LEFT(SUBSTITUTE(ADDRESS(1,Formulas!K153+2),"$",""))&amp;Formulas!J153+1,
IFERROR(INDEX(Datos!$A$2:$K$102,Formulas!J153,Formulas!K153+2),"")))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21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IFERROR(INDEX(Datos!$A$2:$K$102,Formulas!N152,RIGHT(Formulas!P152)+2),"")))</f>
        <v/>
      </c>
      <c r="O155" s="121" t="str" cm="1">
        <f t="array" aca="1" ref="O155" ca="1">IF(OR(Formulas!P153=0,Formulas!P153=""),"",HYPERLINK("["&amp;Archivo_Nombre&amp;"]Datos!"&amp;LEFT(SUBSTITUTE(ADDRESS(1,Formulas!P153+2),"$",""))&amp;Formulas!O153+1,
IFERROR(INDEX(Datos!$A$2:$K$102,Formulas!O153,Formulas!P153+2),"")))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21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IFERROR(INDEX(Datos!$A$2:$K$102,Formulas!S152,RIGHT(Formulas!U152)+2),"")))</f>
        <v>4 días</v>
      </c>
      <c r="T155" s="121" t="e" cm="1">
        <f t="array" aca="1" ref="T155" ca="1">IF(OR(Formulas!U153=0,Formulas!U153=""),"",HYPERLINK("["&amp;Archivo_Nombre&amp;"]Datos!"&amp;LEFT(SUBSTITUTE(ADDRESS(1,Formulas!U153+2),"$",""))&amp;Formulas!T153+1,
IFERROR(INDEX(Datos!$A$2:$K$102,Formulas!T153,Formulas!U153+2),"")))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21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IFERROR(INDEX(Datos!$A$2:$K$102,Formulas!X152,RIGHT(Formulas!Z152)+2),"")))</f>
        <v/>
      </c>
      <c r="Y155" s="121" t="str" cm="1">
        <f t="array" aca="1" ref="Y155" ca="1">IF(OR(Formulas!Z153=0,Formulas!Z153=""),"",HYPERLINK("["&amp;Archivo_Nombre&amp;"]Datos!"&amp;LEFT(SUBSTITUTE(ADDRESS(1,Formulas!Z153+2),"$",""))&amp;Formulas!Y153+1,
IFERROR(INDEX(Datos!$A$2:$K$102,Formulas!Y153,Formulas!Z153+2),"")))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21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IFERROR(INDEX(Datos!$A$2:$K$102,Formulas!AC152,RIGHT(Formulas!AE152)+2),"")))</f>
        <v/>
      </c>
      <c r="AD155" s="121" t="str" cm="1">
        <f t="array" aca="1" ref="AD155" ca="1">IF(OR(Formulas!AE153=0,Formulas!AE153=""),"",HYPERLINK("["&amp;Archivo_Nombre&amp;"]Datos!"&amp;LEFT(SUBSTITUTE(ADDRESS(1,Formulas!AE153+2),"$",""))&amp;Formulas!AD153+1,
IFERROR(INDEX(Datos!$A$2:$K$102,Formulas!AD153,Formulas!AE153+2),"")))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21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IFERROR(INDEX(Datos!$A$2:$K$102,Formulas!AH152,RIGHT(Formulas!AJ152)+2),"")))</f>
        <v/>
      </c>
      <c r="AI155" s="121" t="str" cm="1">
        <f t="array" aca="1" ref="AI155" ca="1">IF(OR(Formulas!AJ153=0,Formulas!AJ153=""),"",HYPERLINK("["&amp;Archivo_Nombre&amp;"]Datos!"&amp;LEFT(SUBSTITUTE(ADDRESS(1,Formulas!AJ153+2),"$",""))&amp;Formulas!AI153+1,
IFERROR(INDEX(Datos!$A$2:$K$102,Formulas!AI153,Formulas!AJ153+2),"")))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21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IFERROR(INDEX(Datos!$A$2:$K$102,Formulas!AM152,RIGHT(Formulas!AO152)+2),"")))</f>
        <v/>
      </c>
      <c r="AN155" s="121" t="str" cm="1">
        <f t="array" aca="1" ref="AN155" ca="1">IF(OR(Formulas!AO153=0,Formulas!AO153=""),"",HYPERLINK("["&amp;Archivo_Nombre&amp;"]Datos!"&amp;LEFT(SUBSTITUTE(ADDRESS(1,Formulas!AO153+2),"$",""))&amp;Formulas!AN153+1,
IFERROR(INDEX(Datos!$A$2:$K$102,Formulas!AN153,Formulas!AO153+2),"")))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21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IFERROR(INDEX(Datos!$A$2:$K$102,Formulas!AR152,RIGHT(Formulas!AT152)+2),"")))</f>
        <v/>
      </c>
      <c r="AS155" s="121" t="str" cm="1">
        <f t="array" aca="1" ref="AS155" ca="1">IF(OR(Formulas!AT153=0,Formulas!AT153=""),"",HYPERLINK("["&amp;Archivo_Nombre&amp;"]Datos!"&amp;LEFT(SUBSTITUTE(ADDRESS(1,Formulas!AT153+2),"$",""))&amp;Formulas!AS153+1,
IFERROR(INDEX(Datos!$A$2:$K$102,Formulas!AS153,Formulas!AT153+2),"")))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21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IFERROR(INDEX(Datos!$A$2:$K$102,Formulas!AW152,RIGHT(Formulas!AY152)+2),"")))</f>
        <v/>
      </c>
      <c r="AX155" s="121" t="str" cm="1">
        <f t="array" aca="1" ref="AX155" ca="1">IF(OR(Formulas!AY153=0,Formulas!AY153=""),"",HYPERLINK("["&amp;Archivo_Nombre&amp;"]Datos!"&amp;LEFT(SUBSTITUTE(ADDRESS(1,Formulas!AY153+2),"$",""))&amp;Formulas!AX153+1,
IFERROR(INDEX(Datos!$A$2:$K$102,Formulas!AX153,Formulas!AY153+2),"")))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21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IFERROR(INDEX(Datos!$A$2:$K$102,Formulas!D153,RIGHT(Formulas!F153)+2),"")))</f>
        <v/>
      </c>
      <c r="E156" s="121" t="str" cm="1">
        <f t="array" aca="1" ref="E156" ca="1">IF(OR(Formulas!F154=0,Formulas!F154=""),"",HYPERLINK("["&amp;Archivo_Nombre&amp;"]Datos!"&amp;LEFT(SUBSTITUTE(ADDRESS(1,Formulas!F154+2),"$",""))&amp;Formulas!E154+1,
IFERROR(INDEX(Datos!$A$2:$K$102,Formulas!E154,Formulas!F154+2),"")))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21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IFERROR(INDEX(Datos!$A$2:$K$102,Formulas!I153,RIGHT(Formulas!K153)+2),"")))</f>
        <v/>
      </c>
      <c r="J156" s="121" t="str" cm="1">
        <f t="array" aca="1" ref="J156" ca="1">IF(OR(Formulas!K154=0,Formulas!K154=""),"",HYPERLINK("["&amp;Archivo_Nombre&amp;"]Datos!"&amp;LEFT(SUBSTITUTE(ADDRESS(1,Formulas!K154+2),"$",""))&amp;Formulas!J154+1,
IFERROR(INDEX(Datos!$A$2:$K$102,Formulas!J154,Formulas!K154+2),"")))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21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IFERROR(INDEX(Datos!$A$2:$K$102,Formulas!N153,RIGHT(Formulas!P153)+2),"")))</f>
        <v/>
      </c>
      <c r="O156" s="121" t="str" cm="1">
        <f t="array" aca="1" ref="O156" ca="1">IF(OR(Formulas!P154=0,Formulas!P154=""),"",HYPERLINK("["&amp;Archivo_Nombre&amp;"]Datos!"&amp;LEFT(SUBSTITUTE(ADDRESS(1,Formulas!P154+2),"$",""))&amp;Formulas!O154+1,
IFERROR(INDEX(Datos!$A$2:$K$102,Formulas!O154,Formulas!P154+2),"")))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21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IFERROR(INDEX(Datos!$A$2:$K$102,Formulas!S153,RIGHT(Formulas!U153)+2),"")))</f>
        <v>0 días</v>
      </c>
      <c r="T156" s="121" t="e" cm="1">
        <f t="array" aca="1" ref="T156" ca="1">IF(OR(Formulas!U154=0,Formulas!U154=""),"",HYPERLINK("["&amp;Archivo_Nombre&amp;"]Datos!"&amp;LEFT(SUBSTITUTE(ADDRESS(1,Formulas!U154+2),"$",""))&amp;Formulas!T154+1,
IFERROR(INDEX(Datos!$A$2:$K$102,Formulas!T154,Formulas!U154+2),"")))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21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IFERROR(INDEX(Datos!$A$2:$K$102,Formulas!X153,RIGHT(Formulas!Z153)+2),"")))</f>
        <v/>
      </c>
      <c r="Y156" s="121" t="str" cm="1">
        <f t="array" aca="1" ref="Y156" ca="1">IF(OR(Formulas!Z154=0,Formulas!Z154=""),"",HYPERLINK("["&amp;Archivo_Nombre&amp;"]Datos!"&amp;LEFT(SUBSTITUTE(ADDRESS(1,Formulas!Z154+2),"$",""))&amp;Formulas!Y154+1,
IFERROR(INDEX(Datos!$A$2:$K$102,Formulas!Y154,Formulas!Z154+2),"")))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21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IFERROR(INDEX(Datos!$A$2:$K$102,Formulas!AC153,RIGHT(Formulas!AE153)+2),"")))</f>
        <v/>
      </c>
      <c r="AD156" s="121" t="str" cm="1">
        <f t="array" aca="1" ref="AD156" ca="1">IF(OR(Formulas!AE154=0,Formulas!AE154=""),"",HYPERLINK("["&amp;Archivo_Nombre&amp;"]Datos!"&amp;LEFT(SUBSTITUTE(ADDRESS(1,Formulas!AE154+2),"$",""))&amp;Formulas!AD154+1,
IFERROR(INDEX(Datos!$A$2:$K$102,Formulas!AD154,Formulas!AE154+2),"")))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21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IFERROR(INDEX(Datos!$A$2:$K$102,Formulas!AH153,RIGHT(Formulas!AJ153)+2),"")))</f>
        <v/>
      </c>
      <c r="AI156" s="121" t="str" cm="1">
        <f t="array" aca="1" ref="AI156" ca="1">IF(OR(Formulas!AJ154=0,Formulas!AJ154=""),"",HYPERLINK("["&amp;Archivo_Nombre&amp;"]Datos!"&amp;LEFT(SUBSTITUTE(ADDRESS(1,Formulas!AJ154+2),"$",""))&amp;Formulas!AI154+1,
IFERROR(INDEX(Datos!$A$2:$K$102,Formulas!AI154,Formulas!AJ154+2),"")))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21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IFERROR(INDEX(Datos!$A$2:$K$102,Formulas!AM153,RIGHT(Formulas!AO153)+2),"")))</f>
        <v/>
      </c>
      <c r="AN156" s="121" t="str" cm="1">
        <f t="array" aca="1" ref="AN156" ca="1">IF(OR(Formulas!AO154=0,Formulas!AO154=""),"",HYPERLINK("["&amp;Archivo_Nombre&amp;"]Datos!"&amp;LEFT(SUBSTITUTE(ADDRESS(1,Formulas!AO154+2),"$",""))&amp;Formulas!AN154+1,
IFERROR(INDEX(Datos!$A$2:$K$102,Formulas!AN154,Formulas!AO154+2),"")))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21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IFERROR(INDEX(Datos!$A$2:$K$102,Formulas!AR153,RIGHT(Formulas!AT153)+2),"")))</f>
        <v/>
      </c>
      <c r="AS156" s="121" t="str" cm="1">
        <f t="array" aca="1" ref="AS156" ca="1">IF(OR(Formulas!AT154=0,Formulas!AT154=""),"",HYPERLINK("["&amp;Archivo_Nombre&amp;"]Datos!"&amp;LEFT(SUBSTITUTE(ADDRESS(1,Formulas!AT154+2),"$",""))&amp;Formulas!AS154+1,
IFERROR(INDEX(Datos!$A$2:$K$102,Formulas!AS154,Formulas!AT154+2),"")))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21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IFERROR(INDEX(Datos!$A$2:$K$102,Formulas!AW153,RIGHT(Formulas!AY153)+2),"")))</f>
        <v/>
      </c>
      <c r="AX156" s="121" t="str" cm="1">
        <f t="array" aca="1" ref="AX156" ca="1">IF(OR(Formulas!AY154=0,Formulas!AY154=""),"",HYPERLINK("["&amp;Archivo_Nombre&amp;"]Datos!"&amp;LEFT(SUBSTITUTE(ADDRESS(1,Formulas!AY154+2),"$",""))&amp;Formulas!AX154+1,
IFERROR(INDEX(Datos!$A$2:$K$102,Formulas!AX154,Formulas!AY154+2),"")))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21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IFERROR(INDEX(Datos!$A$2:$K$102,Formulas!D154,RIGHT(Formulas!F154)+2),"")))</f>
        <v/>
      </c>
      <c r="E157" s="121" t="str" cm="1">
        <f t="array" aca="1" ref="E157" ca="1">IF(OR(Formulas!F155=0,Formulas!F155=""),"",HYPERLINK("["&amp;Archivo_Nombre&amp;"]Datos!"&amp;LEFT(SUBSTITUTE(ADDRESS(1,Formulas!F155+2),"$",""))&amp;Formulas!E155+1,
IFERROR(INDEX(Datos!$A$2:$K$102,Formulas!E155,Formulas!F155+2),"")))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21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IFERROR(INDEX(Datos!$A$2:$K$102,Formulas!I154,RIGHT(Formulas!K154)+2),"")))</f>
        <v/>
      </c>
      <c r="J157" s="121" t="str" cm="1">
        <f t="array" aca="1" ref="J157" ca="1">IF(OR(Formulas!K155=0,Formulas!K155=""),"",HYPERLINK("["&amp;Archivo_Nombre&amp;"]Datos!"&amp;LEFT(SUBSTITUTE(ADDRESS(1,Formulas!K155+2),"$",""))&amp;Formulas!J155+1,
IFERROR(INDEX(Datos!$A$2:$K$102,Formulas!J155,Formulas!K155+2),"")))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21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IFERROR(INDEX(Datos!$A$2:$K$102,Formulas!N154,RIGHT(Formulas!P154)+2),"")))</f>
        <v/>
      </c>
      <c r="O157" s="121" t="str" cm="1">
        <f t="array" aca="1" ref="O157" ca="1">IF(OR(Formulas!P155=0,Formulas!P155=""),"",HYPERLINK("["&amp;Archivo_Nombre&amp;"]Datos!"&amp;LEFT(SUBSTITUTE(ADDRESS(1,Formulas!P155+2),"$",""))&amp;Formulas!O155+1,
IFERROR(INDEX(Datos!$A$2:$K$102,Formulas!O155,Formulas!P155+2),"")))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21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IFERROR(INDEX(Datos!$A$2:$K$102,Formulas!S154,RIGHT(Formulas!U154)+2),"")))</f>
        <v>Paulina Quishpe</v>
      </c>
      <c r="T157" s="121" t="str" cm="1">
        <f t="array" aca="1" ref="T157" ca="1">IF(OR(Formulas!U155=0,Formulas!U155=""),"",HYPERLINK("["&amp;Archivo_Nombre&amp;"]Datos!"&amp;LEFT(SUBSTITUTE(ADDRESS(1,Formulas!U155+2),"$",""))&amp;Formulas!T155+1,
IFERROR(INDEX(Datos!$A$2:$K$102,Formulas!T155,Formulas!U155+2),"")))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21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IFERROR(INDEX(Datos!$A$2:$K$102,Formulas!X154,RIGHT(Formulas!Z154)+2),"")))</f>
        <v/>
      </c>
      <c r="Y157" s="121" t="str" cm="1">
        <f t="array" aca="1" ref="Y157" ca="1">IF(OR(Formulas!Z155=0,Formulas!Z155=""),"",HYPERLINK("["&amp;Archivo_Nombre&amp;"]Datos!"&amp;LEFT(SUBSTITUTE(ADDRESS(1,Formulas!Z155+2),"$",""))&amp;Formulas!Y155+1,
IFERROR(INDEX(Datos!$A$2:$K$102,Formulas!Y155,Formulas!Z155+2),"")))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21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IFERROR(INDEX(Datos!$A$2:$K$102,Formulas!AC154,RIGHT(Formulas!AE154)+2),"")))</f>
        <v/>
      </c>
      <c r="AD157" s="121" t="str" cm="1">
        <f t="array" aca="1" ref="AD157" ca="1">IF(OR(Formulas!AE155=0,Formulas!AE155=""),"",HYPERLINK("["&amp;Archivo_Nombre&amp;"]Datos!"&amp;LEFT(SUBSTITUTE(ADDRESS(1,Formulas!AE155+2),"$",""))&amp;Formulas!AD155+1,
IFERROR(INDEX(Datos!$A$2:$K$102,Formulas!AD155,Formulas!AE155+2),"")))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21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IFERROR(INDEX(Datos!$A$2:$K$102,Formulas!AH154,RIGHT(Formulas!AJ154)+2),"")))</f>
        <v/>
      </c>
      <c r="AI157" s="121" t="str" cm="1">
        <f t="array" aca="1" ref="AI157" ca="1">IF(OR(Formulas!AJ155=0,Formulas!AJ155=""),"",HYPERLINK("["&amp;Archivo_Nombre&amp;"]Datos!"&amp;LEFT(SUBSTITUTE(ADDRESS(1,Formulas!AJ155+2),"$",""))&amp;Formulas!AI155+1,
IFERROR(INDEX(Datos!$A$2:$K$102,Formulas!AI155,Formulas!AJ155+2),"")))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21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IFERROR(INDEX(Datos!$A$2:$K$102,Formulas!AM154,RIGHT(Formulas!AO154)+2),"")))</f>
        <v/>
      </c>
      <c r="AN157" s="121" t="str" cm="1">
        <f t="array" aca="1" ref="AN157" ca="1">IF(OR(Formulas!AO155=0,Formulas!AO155=""),"",HYPERLINK("["&amp;Archivo_Nombre&amp;"]Datos!"&amp;LEFT(SUBSTITUTE(ADDRESS(1,Formulas!AO155+2),"$",""))&amp;Formulas!AN155+1,
IFERROR(INDEX(Datos!$A$2:$K$102,Formulas!AN155,Formulas!AO155+2),"")))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21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IFERROR(INDEX(Datos!$A$2:$K$102,Formulas!AR154,RIGHT(Formulas!AT154)+2),"")))</f>
        <v/>
      </c>
      <c r="AS157" s="121" t="str" cm="1">
        <f t="array" aca="1" ref="AS157" ca="1">IF(OR(Formulas!AT155=0,Formulas!AT155=""),"",HYPERLINK("["&amp;Archivo_Nombre&amp;"]Datos!"&amp;LEFT(SUBSTITUTE(ADDRESS(1,Formulas!AT155+2),"$",""))&amp;Formulas!AS155+1,
IFERROR(INDEX(Datos!$A$2:$K$102,Formulas!AS155,Formulas!AT155+2),"")))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21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IFERROR(INDEX(Datos!$A$2:$K$102,Formulas!AW154,RIGHT(Formulas!AY154)+2),"")))</f>
        <v/>
      </c>
      <c r="AX157" s="121" t="str" cm="1">
        <f t="array" aca="1" ref="AX157" ca="1">IF(OR(Formulas!AY155=0,Formulas!AY155=""),"",HYPERLINK("["&amp;Archivo_Nombre&amp;"]Datos!"&amp;LEFT(SUBSTITUTE(ADDRESS(1,Formulas!AY155+2),"$",""))&amp;Formulas!AX155+1,
IFERROR(INDEX(Datos!$A$2:$K$102,Formulas!AX155,Formulas!AY155+2),"")))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21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IFERROR(INDEX(Datos!$A$2:$K$102,Formulas!D155,RIGHT(Formulas!F155)+2),"")))</f>
        <v/>
      </c>
      <c r="E158" s="121" t="str" cm="1">
        <f t="array" aca="1" ref="E158" ca="1">IF(OR(Formulas!F156=0,Formulas!F156=""),"",HYPERLINK("["&amp;Archivo_Nombre&amp;"]Datos!"&amp;LEFT(SUBSTITUTE(ADDRESS(1,Formulas!F156+2),"$",""))&amp;Formulas!E156+1,
IFERROR(INDEX(Datos!$A$2:$K$102,Formulas!E156,Formulas!F156+2),"")))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21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IFERROR(INDEX(Datos!$A$2:$K$102,Formulas!I155,RIGHT(Formulas!K155)+2),"")))</f>
        <v/>
      </c>
      <c r="J158" s="121" t="str" cm="1">
        <f t="array" aca="1" ref="J158" ca="1">IF(OR(Formulas!K156=0,Formulas!K156=""),"",HYPERLINK("["&amp;Archivo_Nombre&amp;"]Datos!"&amp;LEFT(SUBSTITUTE(ADDRESS(1,Formulas!K156+2),"$",""))&amp;Formulas!J156+1,
IFERROR(INDEX(Datos!$A$2:$K$102,Formulas!J156,Formulas!K156+2),"")))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21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IFERROR(INDEX(Datos!$A$2:$K$102,Formulas!N155,RIGHT(Formulas!P155)+2),"")))</f>
        <v/>
      </c>
      <c r="O158" s="121" t="str" cm="1">
        <f t="array" aca="1" ref="O158" ca="1">IF(OR(Formulas!P156=0,Formulas!P156=""),"",HYPERLINK("["&amp;Archivo_Nombre&amp;"]Datos!"&amp;LEFT(SUBSTITUTE(ADDRESS(1,Formulas!P156+2),"$",""))&amp;Formulas!O156+1,
IFERROR(INDEX(Datos!$A$2:$K$102,Formulas!O156,Formulas!P156+2),"")))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21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IFERROR(INDEX(Datos!$A$2:$K$102,Formulas!S155,RIGHT(Formulas!U155)+2),"")))</f>
        <v/>
      </c>
      <c r="T158" s="121" t="e" cm="1">
        <f t="array" aca="1" ref="T158" ca="1">IF(OR(Formulas!U156=0,Formulas!U156=""),"",HYPERLINK("["&amp;Archivo_Nombre&amp;"]Datos!"&amp;LEFT(SUBSTITUTE(ADDRESS(1,Formulas!U156+2),"$",""))&amp;Formulas!T156+1,
IFERROR(INDEX(Datos!$A$2:$K$102,Formulas!T156,Formulas!U156+2),"")))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21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IFERROR(INDEX(Datos!$A$2:$K$102,Formulas!X155,RIGHT(Formulas!Z155)+2),"")))</f>
        <v/>
      </c>
      <c r="Y158" s="121" t="str" cm="1">
        <f t="array" aca="1" ref="Y158" ca="1">IF(OR(Formulas!Z156=0,Formulas!Z156=""),"",HYPERLINK("["&amp;Archivo_Nombre&amp;"]Datos!"&amp;LEFT(SUBSTITUTE(ADDRESS(1,Formulas!Z156+2),"$",""))&amp;Formulas!Y156+1,
IFERROR(INDEX(Datos!$A$2:$K$102,Formulas!Y156,Formulas!Z156+2),"")))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21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IFERROR(INDEX(Datos!$A$2:$K$102,Formulas!AC155,RIGHT(Formulas!AE155)+2),"")))</f>
        <v/>
      </c>
      <c r="AD158" s="121" t="str" cm="1">
        <f t="array" aca="1" ref="AD158" ca="1">IF(OR(Formulas!AE156=0,Formulas!AE156=""),"",HYPERLINK("["&amp;Archivo_Nombre&amp;"]Datos!"&amp;LEFT(SUBSTITUTE(ADDRESS(1,Formulas!AE156+2),"$",""))&amp;Formulas!AD156+1,
IFERROR(INDEX(Datos!$A$2:$K$102,Formulas!AD156,Formulas!AE156+2),"")))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21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IFERROR(INDEX(Datos!$A$2:$K$102,Formulas!AH155,RIGHT(Formulas!AJ155)+2),"")))</f>
        <v/>
      </c>
      <c r="AI158" s="121" t="str" cm="1">
        <f t="array" aca="1" ref="AI158" ca="1">IF(OR(Formulas!AJ156=0,Formulas!AJ156=""),"",HYPERLINK("["&amp;Archivo_Nombre&amp;"]Datos!"&amp;LEFT(SUBSTITUTE(ADDRESS(1,Formulas!AJ156+2),"$",""))&amp;Formulas!AI156+1,
IFERROR(INDEX(Datos!$A$2:$K$102,Formulas!AI156,Formulas!AJ156+2),"")))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21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IFERROR(INDEX(Datos!$A$2:$K$102,Formulas!AM155,RIGHT(Formulas!AO155)+2),"")))</f>
        <v/>
      </c>
      <c r="AN158" s="121" t="str" cm="1">
        <f t="array" aca="1" ref="AN158" ca="1">IF(OR(Formulas!AO156=0,Formulas!AO156=""),"",HYPERLINK("["&amp;Archivo_Nombre&amp;"]Datos!"&amp;LEFT(SUBSTITUTE(ADDRESS(1,Formulas!AO156+2),"$",""))&amp;Formulas!AN156+1,
IFERROR(INDEX(Datos!$A$2:$K$102,Formulas!AN156,Formulas!AO156+2),"")))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21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IFERROR(INDEX(Datos!$A$2:$K$102,Formulas!AR155,RIGHT(Formulas!AT155)+2),"")))</f>
        <v/>
      </c>
      <c r="AS158" s="121" t="str" cm="1">
        <f t="array" aca="1" ref="AS158" ca="1">IF(OR(Formulas!AT156=0,Formulas!AT156=""),"",HYPERLINK("["&amp;Archivo_Nombre&amp;"]Datos!"&amp;LEFT(SUBSTITUTE(ADDRESS(1,Formulas!AT156+2),"$",""))&amp;Formulas!AS156+1,
IFERROR(INDEX(Datos!$A$2:$K$102,Formulas!AS156,Formulas!AT156+2),"")))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21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IFERROR(INDEX(Datos!$A$2:$K$102,Formulas!AW155,RIGHT(Formulas!AY155)+2),"")))</f>
        <v/>
      </c>
      <c r="AX158" s="121" t="str" cm="1">
        <f t="array" aca="1" ref="AX158" ca="1">IF(OR(Formulas!AY156=0,Formulas!AY156=""),"",HYPERLINK("["&amp;Archivo_Nombre&amp;"]Datos!"&amp;LEFT(SUBSTITUTE(ADDRESS(1,Formulas!AY156+2),"$",""))&amp;Formulas!AX156+1,
IFERROR(INDEX(Datos!$A$2:$K$102,Formulas!AX156,Formulas!AY156+2),"")))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21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IFERROR(INDEX(Datos!$A$2:$K$102,Formulas!D156,RIGHT(Formulas!F156)+2),"")))</f>
        <v/>
      </c>
      <c r="E159" s="121" t="str" cm="1">
        <f t="array" aca="1" ref="E159" ca="1">IF(OR(Formulas!F157=0,Formulas!F157=""),"",HYPERLINK("["&amp;Archivo_Nombre&amp;"]Datos!"&amp;LEFT(SUBSTITUTE(ADDRESS(1,Formulas!F157+2),"$",""))&amp;Formulas!E157+1,
IFERROR(INDEX(Datos!$A$2:$K$102,Formulas!E157,Formulas!F157+2),"")))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21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IFERROR(INDEX(Datos!$A$2:$K$102,Formulas!I156,RIGHT(Formulas!K156)+2),"")))</f>
        <v/>
      </c>
      <c r="J159" s="121" t="str" cm="1">
        <f t="array" aca="1" ref="J159" ca="1">IF(OR(Formulas!K157=0,Formulas!K157=""),"",HYPERLINK("["&amp;Archivo_Nombre&amp;"]Datos!"&amp;LEFT(SUBSTITUTE(ADDRESS(1,Formulas!K157+2),"$",""))&amp;Formulas!J157+1,
IFERROR(INDEX(Datos!$A$2:$K$102,Formulas!J157,Formulas!K157+2),"")))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21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IFERROR(INDEX(Datos!$A$2:$K$102,Formulas!N156,RIGHT(Formulas!P156)+2),"")))</f>
        <v/>
      </c>
      <c r="O159" s="121" t="str" cm="1">
        <f t="array" aca="1" ref="O159" ca="1">IF(OR(Formulas!P157=0,Formulas!P157=""),"",HYPERLINK("["&amp;Archivo_Nombre&amp;"]Datos!"&amp;LEFT(SUBSTITUTE(ADDRESS(1,Formulas!P157+2),"$",""))&amp;Formulas!O157+1,
IFERROR(INDEX(Datos!$A$2:$K$102,Formulas!O157,Formulas!P157+2),"")))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41:</v>
      </c>
      <c r="S159" s="121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IFERROR(INDEX(Datos!$A$2:$K$102,Formulas!S156,RIGHT(Formulas!U156)+2),"")))</f>
        <v>REQ005-1 Implementar botón de "editar" dentro de la vista de detalle del contrato con validación de permisos.</v>
      </c>
      <c r="T159" s="121" t="e" cm="1">
        <f t="array" aca="1" ref="T159" ca="1">IF(OR(Formulas!U157=0,Formulas!U157=""),"",HYPERLINK("["&amp;Archivo_Nombre&amp;"]Datos!"&amp;LEFT(SUBSTITUTE(ADDRESS(1,Formulas!U157+2),"$",""))&amp;Formulas!T157+1,
IFERROR(INDEX(Datos!$A$2:$K$102,Formulas!T157,Formulas!U157+2),"")))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21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IFERROR(INDEX(Datos!$A$2:$K$102,Formulas!X156,RIGHT(Formulas!Z156)+2),"")))</f>
        <v/>
      </c>
      <c r="Y159" s="121" t="str" cm="1">
        <f t="array" aca="1" ref="Y159" ca="1">IF(OR(Formulas!Z157=0,Formulas!Z157=""),"",HYPERLINK("["&amp;Archivo_Nombre&amp;"]Datos!"&amp;LEFT(SUBSTITUTE(ADDRESS(1,Formulas!Z157+2),"$",""))&amp;Formulas!Y157+1,
IFERROR(INDEX(Datos!$A$2:$K$102,Formulas!Y157,Formulas!Z157+2),"")))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21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IFERROR(INDEX(Datos!$A$2:$K$102,Formulas!AC156,RIGHT(Formulas!AE156)+2),"")))</f>
        <v/>
      </c>
      <c r="AD159" s="121" t="str" cm="1">
        <f t="array" aca="1" ref="AD159" ca="1">IF(OR(Formulas!AE157=0,Formulas!AE157=""),"",HYPERLINK("["&amp;Archivo_Nombre&amp;"]Datos!"&amp;LEFT(SUBSTITUTE(ADDRESS(1,Formulas!AE157+2),"$",""))&amp;Formulas!AD157+1,
IFERROR(INDEX(Datos!$A$2:$K$102,Formulas!AD157,Formulas!AE157+2),"")))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21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IFERROR(INDEX(Datos!$A$2:$K$102,Formulas!AH156,RIGHT(Formulas!AJ156)+2),"")))</f>
        <v/>
      </c>
      <c r="AI159" s="121" t="str" cm="1">
        <f t="array" aca="1" ref="AI159" ca="1">IF(OR(Formulas!AJ157=0,Formulas!AJ157=""),"",HYPERLINK("["&amp;Archivo_Nombre&amp;"]Datos!"&amp;LEFT(SUBSTITUTE(ADDRESS(1,Formulas!AJ157+2),"$",""))&amp;Formulas!AI157+1,
IFERROR(INDEX(Datos!$A$2:$K$102,Formulas!AI157,Formulas!AJ157+2),"")))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21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IFERROR(INDEX(Datos!$A$2:$K$102,Formulas!AM156,RIGHT(Formulas!AO156)+2),"")))</f>
        <v/>
      </c>
      <c r="AN159" s="121" t="str" cm="1">
        <f t="array" aca="1" ref="AN159" ca="1">IF(OR(Formulas!AO157=0,Formulas!AO157=""),"",HYPERLINK("["&amp;Archivo_Nombre&amp;"]Datos!"&amp;LEFT(SUBSTITUTE(ADDRESS(1,Formulas!AO157+2),"$",""))&amp;Formulas!AN157+1,
IFERROR(INDEX(Datos!$A$2:$K$102,Formulas!AN157,Formulas!AO157+2),"")))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21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IFERROR(INDEX(Datos!$A$2:$K$102,Formulas!AR156,RIGHT(Formulas!AT156)+2),"")))</f>
        <v/>
      </c>
      <c r="AS159" s="121" t="str" cm="1">
        <f t="array" aca="1" ref="AS159" ca="1">IF(OR(Formulas!AT157=0,Formulas!AT157=""),"",HYPERLINK("["&amp;Archivo_Nombre&amp;"]Datos!"&amp;LEFT(SUBSTITUTE(ADDRESS(1,Formulas!AT157+2),"$",""))&amp;Formulas!AS157+1,
IFERROR(INDEX(Datos!$A$2:$K$102,Formulas!AS157,Formulas!AT157+2),"")))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21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IFERROR(INDEX(Datos!$A$2:$K$102,Formulas!AW156,RIGHT(Formulas!AY156)+2),"")))</f>
        <v/>
      </c>
      <c r="AX159" s="121" t="str" cm="1">
        <f t="array" aca="1" ref="AX159" ca="1">IF(OR(Formulas!AY157=0,Formulas!AY157=""),"",HYPERLINK("["&amp;Archivo_Nombre&amp;"]Datos!"&amp;LEFT(SUBSTITUTE(ADDRESS(1,Formulas!AY157+2),"$",""))&amp;Formulas!AX157+1,
IFERROR(INDEX(Datos!$A$2:$K$102,Formulas!AX157,Formulas!AY157+2),"")))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21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IFERROR(INDEX(Datos!$A$2:$K$102,Formulas!D157,RIGHT(Formulas!F157)+2),"")))</f>
        <v/>
      </c>
      <c r="E160" s="121" t="str" cm="1">
        <f t="array" aca="1" ref="E160" ca="1">IF(OR(Formulas!F158=0,Formulas!F158=""),"",HYPERLINK("["&amp;Archivo_Nombre&amp;"]Datos!"&amp;LEFT(SUBSTITUTE(ADDRESS(1,Formulas!F158+2),"$",""))&amp;Formulas!E158+1,
IFERROR(INDEX(Datos!$A$2:$K$102,Formulas!E158,Formulas!F158+2),"")))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21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IFERROR(INDEX(Datos!$A$2:$K$102,Formulas!I157,RIGHT(Formulas!K157)+2),"")))</f>
        <v/>
      </c>
      <c r="J160" s="121" t="str" cm="1">
        <f t="array" aca="1" ref="J160" ca="1">IF(OR(Formulas!K158=0,Formulas!K158=""),"",HYPERLINK("["&amp;Archivo_Nombre&amp;"]Datos!"&amp;LEFT(SUBSTITUTE(ADDRESS(1,Formulas!K158+2),"$",""))&amp;Formulas!J158+1,
IFERROR(INDEX(Datos!$A$2:$K$102,Formulas!J158,Formulas!K158+2),"")))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21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IFERROR(INDEX(Datos!$A$2:$K$102,Formulas!N157,RIGHT(Formulas!P157)+2),"")))</f>
        <v/>
      </c>
      <c r="O160" s="121" t="str" cm="1">
        <f t="array" aca="1" ref="O160" ca="1">IF(OR(Formulas!P158=0,Formulas!P158=""),"",HYPERLINK("["&amp;Archivo_Nombre&amp;"]Datos!"&amp;LEFT(SUBSTITUTE(ADDRESS(1,Formulas!P158+2),"$",""))&amp;Formulas!O158+1,
IFERROR(INDEX(Datos!$A$2:$K$102,Formulas!O158,Formulas!P158+2),"")))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21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IFERROR(INDEX(Datos!$A$2:$K$102,Formulas!S157,RIGHT(Formulas!U157)+2),"")))</f>
        <v>Implementar botón "editar" con validación</v>
      </c>
      <c r="T160" s="121" t="e" cm="1">
        <f t="array" aca="1" ref="T160" ca="1">IF(OR(Formulas!U158=0,Formulas!U158=""),"",HYPERLINK("["&amp;Archivo_Nombre&amp;"]Datos!"&amp;LEFT(SUBSTITUTE(ADDRESS(1,Formulas!U158+2),"$",""))&amp;Formulas!T158+1,
IFERROR(INDEX(Datos!$A$2:$K$102,Formulas!T158,Formulas!U158+2),"")))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21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IFERROR(INDEX(Datos!$A$2:$K$102,Formulas!X157,RIGHT(Formulas!Z157)+2),"")))</f>
        <v/>
      </c>
      <c r="Y160" s="121" t="str" cm="1">
        <f t="array" aca="1" ref="Y160" ca="1">IF(OR(Formulas!Z158=0,Formulas!Z158=""),"",HYPERLINK("["&amp;Archivo_Nombre&amp;"]Datos!"&amp;LEFT(SUBSTITUTE(ADDRESS(1,Formulas!Z158+2),"$",""))&amp;Formulas!Y158+1,
IFERROR(INDEX(Datos!$A$2:$K$102,Formulas!Y158,Formulas!Z158+2),"")))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21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IFERROR(INDEX(Datos!$A$2:$K$102,Formulas!AC157,RIGHT(Formulas!AE157)+2),"")))</f>
        <v/>
      </c>
      <c r="AD160" s="121" t="str" cm="1">
        <f t="array" aca="1" ref="AD160" ca="1">IF(OR(Formulas!AE158=0,Formulas!AE158=""),"",HYPERLINK("["&amp;Archivo_Nombre&amp;"]Datos!"&amp;LEFT(SUBSTITUTE(ADDRESS(1,Formulas!AE158+2),"$",""))&amp;Formulas!AD158+1,
IFERROR(INDEX(Datos!$A$2:$K$102,Formulas!AD158,Formulas!AE158+2),"")))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21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IFERROR(INDEX(Datos!$A$2:$K$102,Formulas!AH157,RIGHT(Formulas!AJ157)+2),"")))</f>
        <v/>
      </c>
      <c r="AI160" s="121" t="str" cm="1">
        <f t="array" aca="1" ref="AI160" ca="1">IF(OR(Formulas!AJ158=0,Formulas!AJ158=""),"",HYPERLINK("["&amp;Archivo_Nombre&amp;"]Datos!"&amp;LEFT(SUBSTITUTE(ADDRESS(1,Formulas!AJ158+2),"$",""))&amp;Formulas!AI158+1,
IFERROR(INDEX(Datos!$A$2:$K$102,Formulas!AI158,Formulas!AJ158+2),"")))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21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IFERROR(INDEX(Datos!$A$2:$K$102,Formulas!AM157,RIGHT(Formulas!AO157)+2),"")))</f>
        <v/>
      </c>
      <c r="AN160" s="121" t="str" cm="1">
        <f t="array" aca="1" ref="AN160" ca="1">IF(OR(Formulas!AO158=0,Formulas!AO158=""),"",HYPERLINK("["&amp;Archivo_Nombre&amp;"]Datos!"&amp;LEFT(SUBSTITUTE(ADDRESS(1,Formulas!AO158+2),"$",""))&amp;Formulas!AN158+1,
IFERROR(INDEX(Datos!$A$2:$K$102,Formulas!AN158,Formulas!AO158+2),"")))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21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IFERROR(INDEX(Datos!$A$2:$K$102,Formulas!AR157,RIGHT(Formulas!AT157)+2),"")))</f>
        <v/>
      </c>
      <c r="AS160" s="121" t="str" cm="1">
        <f t="array" aca="1" ref="AS160" ca="1">IF(OR(Formulas!AT158=0,Formulas!AT158=""),"",HYPERLINK("["&amp;Archivo_Nombre&amp;"]Datos!"&amp;LEFT(SUBSTITUTE(ADDRESS(1,Formulas!AT158+2),"$",""))&amp;Formulas!AS158+1,
IFERROR(INDEX(Datos!$A$2:$K$102,Formulas!AS158,Formulas!AT158+2),"")))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21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IFERROR(INDEX(Datos!$A$2:$K$102,Formulas!AW157,RIGHT(Formulas!AY157)+2),"")))</f>
        <v/>
      </c>
      <c r="AX160" s="121" t="str" cm="1">
        <f t="array" aca="1" ref="AX160" ca="1">IF(OR(Formulas!AY158=0,Formulas!AY158=""),"",HYPERLINK("["&amp;Archivo_Nombre&amp;"]Datos!"&amp;LEFT(SUBSTITUTE(ADDRESS(1,Formulas!AY158+2),"$",""))&amp;Formulas!AX158+1,
IFERROR(INDEX(Datos!$A$2:$K$102,Formulas!AX158,Formulas!AY158+2),"")))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21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IFERROR(INDEX(Datos!$A$2:$K$102,Formulas!D158,RIGHT(Formulas!F158)+2),"")))</f>
        <v/>
      </c>
      <c r="E161" s="121" t="str" cm="1">
        <f t="array" aca="1" ref="E161" ca="1">IF(OR(Formulas!F159=0,Formulas!F159=""),"",HYPERLINK("["&amp;Archivo_Nombre&amp;"]Datos!"&amp;LEFT(SUBSTITUTE(ADDRESS(1,Formulas!F159+2),"$",""))&amp;Formulas!E159+1,
IFERROR(INDEX(Datos!$A$2:$K$102,Formulas!E159,Formulas!F159+2),"")))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21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IFERROR(INDEX(Datos!$A$2:$K$102,Formulas!I158,RIGHT(Formulas!K158)+2),"")))</f>
        <v/>
      </c>
      <c r="J161" s="121" t="str" cm="1">
        <f t="array" aca="1" ref="J161" ca="1">IF(OR(Formulas!K159=0,Formulas!K159=""),"",HYPERLINK("["&amp;Archivo_Nombre&amp;"]Datos!"&amp;LEFT(SUBSTITUTE(ADDRESS(1,Formulas!K159+2),"$",""))&amp;Formulas!J159+1,
IFERROR(INDEX(Datos!$A$2:$K$102,Formulas!J159,Formulas!K159+2),"")))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21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IFERROR(INDEX(Datos!$A$2:$K$102,Formulas!N158,RIGHT(Formulas!P158)+2),"")))</f>
        <v/>
      </c>
      <c r="O161" s="121" t="str" cm="1">
        <f t="array" aca="1" ref="O161" ca="1">IF(OR(Formulas!P159=0,Formulas!P159=""),"",HYPERLINK("["&amp;Archivo_Nombre&amp;"]Datos!"&amp;LEFT(SUBSTITUTE(ADDRESS(1,Formulas!P159+2),"$",""))&amp;Formulas!O159+1,
IFERROR(INDEX(Datos!$A$2:$K$102,Formulas!O159,Formulas!P159+2),"")))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21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IFERROR(INDEX(Datos!$A$2:$K$102,Formulas!S158,RIGHT(Formulas!U158)+2),"")))</f>
        <v>45851</v>
      </c>
      <c r="T161" s="121" t="e" cm="1">
        <f t="array" aca="1" ref="T161" ca="1">IF(OR(Formulas!U159=0,Formulas!U159=""),"",HYPERLINK("["&amp;Archivo_Nombre&amp;"]Datos!"&amp;LEFT(SUBSTITUTE(ADDRESS(1,Formulas!U159+2),"$",""))&amp;Formulas!T159+1,
IFERROR(INDEX(Datos!$A$2:$K$102,Formulas!T159,Formulas!U159+2),"")))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21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IFERROR(INDEX(Datos!$A$2:$K$102,Formulas!X158,RIGHT(Formulas!Z158)+2),"")))</f>
        <v/>
      </c>
      <c r="Y161" s="121" t="str" cm="1">
        <f t="array" aca="1" ref="Y161" ca="1">IF(OR(Formulas!Z159=0,Formulas!Z159=""),"",HYPERLINK("["&amp;Archivo_Nombre&amp;"]Datos!"&amp;LEFT(SUBSTITUTE(ADDRESS(1,Formulas!Z159+2),"$",""))&amp;Formulas!Y159+1,
IFERROR(INDEX(Datos!$A$2:$K$102,Formulas!Y159,Formulas!Z159+2),"")))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21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IFERROR(INDEX(Datos!$A$2:$K$102,Formulas!AC158,RIGHT(Formulas!AE158)+2),"")))</f>
        <v/>
      </c>
      <c r="AD161" s="121" t="str" cm="1">
        <f t="array" aca="1" ref="AD161" ca="1">IF(OR(Formulas!AE159=0,Formulas!AE159=""),"",HYPERLINK("["&amp;Archivo_Nombre&amp;"]Datos!"&amp;LEFT(SUBSTITUTE(ADDRESS(1,Formulas!AE159+2),"$",""))&amp;Formulas!AD159+1,
IFERROR(INDEX(Datos!$A$2:$K$102,Formulas!AD159,Formulas!AE159+2),"")))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21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IFERROR(INDEX(Datos!$A$2:$K$102,Formulas!AH158,RIGHT(Formulas!AJ158)+2),"")))</f>
        <v/>
      </c>
      <c r="AI161" s="121" t="str" cm="1">
        <f t="array" aca="1" ref="AI161" ca="1">IF(OR(Formulas!AJ159=0,Formulas!AJ159=""),"",HYPERLINK("["&amp;Archivo_Nombre&amp;"]Datos!"&amp;LEFT(SUBSTITUTE(ADDRESS(1,Formulas!AJ159+2),"$",""))&amp;Formulas!AI159+1,
IFERROR(INDEX(Datos!$A$2:$K$102,Formulas!AI159,Formulas!AJ159+2),"")))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21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IFERROR(INDEX(Datos!$A$2:$K$102,Formulas!AM158,RIGHT(Formulas!AO158)+2),"")))</f>
        <v/>
      </c>
      <c r="AN161" s="121" t="str" cm="1">
        <f t="array" aca="1" ref="AN161" ca="1">IF(OR(Formulas!AO159=0,Formulas!AO159=""),"",HYPERLINK("["&amp;Archivo_Nombre&amp;"]Datos!"&amp;LEFT(SUBSTITUTE(ADDRESS(1,Formulas!AO159+2),"$",""))&amp;Formulas!AN159+1,
IFERROR(INDEX(Datos!$A$2:$K$102,Formulas!AN159,Formulas!AO159+2),"")))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21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IFERROR(INDEX(Datos!$A$2:$K$102,Formulas!AR158,RIGHT(Formulas!AT158)+2),"")))</f>
        <v/>
      </c>
      <c r="AS161" s="121" t="str" cm="1">
        <f t="array" aca="1" ref="AS161" ca="1">IF(OR(Formulas!AT159=0,Formulas!AT159=""),"",HYPERLINK("["&amp;Archivo_Nombre&amp;"]Datos!"&amp;LEFT(SUBSTITUTE(ADDRESS(1,Formulas!AT159+2),"$",""))&amp;Formulas!AS159+1,
IFERROR(INDEX(Datos!$A$2:$K$102,Formulas!AS159,Formulas!AT159+2),"")))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21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IFERROR(INDEX(Datos!$A$2:$K$102,Formulas!AW158,RIGHT(Formulas!AY158)+2),"")))</f>
        <v/>
      </c>
      <c r="AX161" s="121" t="str" cm="1">
        <f t="array" aca="1" ref="AX161" ca="1">IF(OR(Formulas!AY159=0,Formulas!AY159=""),"",HYPERLINK("["&amp;Archivo_Nombre&amp;"]Datos!"&amp;LEFT(SUBSTITUTE(ADDRESS(1,Formulas!AY159+2),"$",""))&amp;Formulas!AX159+1,
IFERROR(INDEX(Datos!$A$2:$K$102,Formulas!AX159,Formulas!AY159+2),"")))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21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IFERROR(INDEX(Datos!$A$2:$K$102,Formulas!D159,RIGHT(Formulas!F159)+2),"")))</f>
        <v/>
      </c>
      <c r="E162" s="121" t="str" cm="1">
        <f t="array" aca="1" ref="E162" ca="1">IF(OR(Formulas!F160=0,Formulas!F160=""),"",HYPERLINK("["&amp;Archivo_Nombre&amp;"]Datos!"&amp;LEFT(SUBSTITUTE(ADDRESS(1,Formulas!F160+2),"$",""))&amp;Formulas!E160+1,
IFERROR(INDEX(Datos!$A$2:$K$102,Formulas!E160,Formulas!F160+2),"")))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21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IFERROR(INDEX(Datos!$A$2:$K$102,Formulas!I159,RIGHT(Formulas!K159)+2),"")))</f>
        <v/>
      </c>
      <c r="J162" s="121" t="str" cm="1">
        <f t="array" aca="1" ref="J162" ca="1">IF(OR(Formulas!K160=0,Formulas!K160=""),"",HYPERLINK("["&amp;Archivo_Nombre&amp;"]Datos!"&amp;LEFT(SUBSTITUTE(ADDRESS(1,Formulas!K160+2),"$",""))&amp;Formulas!J160+1,
IFERROR(INDEX(Datos!$A$2:$K$102,Formulas!J160,Formulas!K160+2),"")))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21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IFERROR(INDEX(Datos!$A$2:$K$102,Formulas!N159,RIGHT(Formulas!P159)+2),"")))</f>
        <v/>
      </c>
      <c r="O162" s="121" t="str" cm="1">
        <f t="array" aca="1" ref="O162" ca="1">IF(OR(Formulas!P160=0,Formulas!P160=""),"",HYPERLINK("["&amp;Archivo_Nombre&amp;"]Datos!"&amp;LEFT(SUBSTITUTE(ADDRESS(1,Formulas!P160+2),"$",""))&amp;Formulas!O160+1,
IFERROR(INDEX(Datos!$A$2:$K$102,Formulas!O160,Formulas!P160+2),"")))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21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IFERROR(INDEX(Datos!$A$2:$K$102,Formulas!S159,RIGHT(Formulas!U159)+2),"")))</f>
        <v>45853</v>
      </c>
      <c r="T162" s="121" t="e" cm="1">
        <f t="array" aca="1" ref="T162" ca="1">IF(OR(Formulas!U160=0,Formulas!U160=""),"",HYPERLINK("["&amp;Archivo_Nombre&amp;"]Datos!"&amp;LEFT(SUBSTITUTE(ADDRESS(1,Formulas!U160+2),"$",""))&amp;Formulas!T160+1,
IFERROR(INDEX(Datos!$A$2:$K$102,Formulas!T160,Formulas!U160+2),"")))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21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IFERROR(INDEX(Datos!$A$2:$K$102,Formulas!X159,RIGHT(Formulas!Z159)+2),"")))</f>
        <v/>
      </c>
      <c r="Y162" s="121" t="str" cm="1">
        <f t="array" aca="1" ref="Y162" ca="1">IF(OR(Formulas!Z160=0,Formulas!Z160=""),"",HYPERLINK("["&amp;Archivo_Nombre&amp;"]Datos!"&amp;LEFT(SUBSTITUTE(ADDRESS(1,Formulas!Z160+2),"$",""))&amp;Formulas!Y160+1,
IFERROR(INDEX(Datos!$A$2:$K$102,Formulas!Y160,Formulas!Z160+2),"")))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21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IFERROR(INDEX(Datos!$A$2:$K$102,Formulas!AC159,RIGHT(Formulas!AE159)+2),"")))</f>
        <v/>
      </c>
      <c r="AD162" s="121" t="str" cm="1">
        <f t="array" aca="1" ref="AD162" ca="1">IF(OR(Formulas!AE160=0,Formulas!AE160=""),"",HYPERLINK("["&amp;Archivo_Nombre&amp;"]Datos!"&amp;LEFT(SUBSTITUTE(ADDRESS(1,Formulas!AE160+2),"$",""))&amp;Formulas!AD160+1,
IFERROR(INDEX(Datos!$A$2:$K$102,Formulas!AD160,Formulas!AE160+2),"")))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21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IFERROR(INDEX(Datos!$A$2:$K$102,Formulas!AH159,RIGHT(Formulas!AJ159)+2),"")))</f>
        <v/>
      </c>
      <c r="AI162" s="121" t="str" cm="1">
        <f t="array" aca="1" ref="AI162" ca="1">IF(OR(Formulas!AJ160=0,Formulas!AJ160=""),"",HYPERLINK("["&amp;Archivo_Nombre&amp;"]Datos!"&amp;LEFT(SUBSTITUTE(ADDRESS(1,Formulas!AJ160+2),"$",""))&amp;Formulas!AI160+1,
IFERROR(INDEX(Datos!$A$2:$K$102,Formulas!AI160,Formulas!AJ160+2),"")))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21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IFERROR(INDEX(Datos!$A$2:$K$102,Formulas!AM159,RIGHT(Formulas!AO159)+2),"")))</f>
        <v/>
      </c>
      <c r="AN162" s="121" t="str" cm="1">
        <f t="array" aca="1" ref="AN162" ca="1">IF(OR(Formulas!AO160=0,Formulas!AO160=""),"",HYPERLINK("["&amp;Archivo_Nombre&amp;"]Datos!"&amp;LEFT(SUBSTITUTE(ADDRESS(1,Formulas!AO160+2),"$",""))&amp;Formulas!AN160+1,
IFERROR(INDEX(Datos!$A$2:$K$102,Formulas!AN160,Formulas!AO160+2),"")))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21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IFERROR(INDEX(Datos!$A$2:$K$102,Formulas!AR159,RIGHT(Formulas!AT159)+2),"")))</f>
        <v/>
      </c>
      <c r="AS162" s="121" t="str" cm="1">
        <f t="array" aca="1" ref="AS162" ca="1">IF(OR(Formulas!AT160=0,Formulas!AT160=""),"",HYPERLINK("["&amp;Archivo_Nombre&amp;"]Datos!"&amp;LEFT(SUBSTITUTE(ADDRESS(1,Formulas!AT160+2),"$",""))&amp;Formulas!AS160+1,
IFERROR(INDEX(Datos!$A$2:$K$102,Formulas!AS160,Formulas!AT160+2),"")))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21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IFERROR(INDEX(Datos!$A$2:$K$102,Formulas!AW159,RIGHT(Formulas!AY159)+2),"")))</f>
        <v/>
      </c>
      <c r="AX162" s="121" t="str" cm="1">
        <f t="array" aca="1" ref="AX162" ca="1">IF(OR(Formulas!AY160=0,Formulas!AY160=""),"",HYPERLINK("["&amp;Archivo_Nombre&amp;"]Datos!"&amp;LEFT(SUBSTITUTE(ADDRESS(1,Formulas!AY160+2),"$",""))&amp;Formulas!AX160+1,
IFERROR(INDEX(Datos!$A$2:$K$102,Formulas!AX160,Formulas!AY160+2),"")))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21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IFERROR(INDEX(Datos!$A$2:$K$102,Formulas!D160,RIGHT(Formulas!F160)+2),"")))</f>
        <v/>
      </c>
      <c r="E163" s="121" t="str" cm="1">
        <f t="array" aca="1" ref="E163" ca="1">IF(OR(Formulas!F161=0,Formulas!F161=""),"",HYPERLINK("["&amp;Archivo_Nombre&amp;"]Datos!"&amp;LEFT(SUBSTITUTE(ADDRESS(1,Formulas!F161+2),"$",""))&amp;Formulas!E161+1,
IFERROR(INDEX(Datos!$A$2:$K$102,Formulas!E161,Formulas!F161+2),"")))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21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IFERROR(INDEX(Datos!$A$2:$K$102,Formulas!I160,RIGHT(Formulas!K160)+2),"")))</f>
        <v/>
      </c>
      <c r="J163" s="121" t="str" cm="1">
        <f t="array" aca="1" ref="J163" ca="1">IF(OR(Formulas!K161=0,Formulas!K161=""),"",HYPERLINK("["&amp;Archivo_Nombre&amp;"]Datos!"&amp;LEFT(SUBSTITUTE(ADDRESS(1,Formulas!K161+2),"$",""))&amp;Formulas!J161+1,
IFERROR(INDEX(Datos!$A$2:$K$102,Formulas!J161,Formulas!K161+2),"")))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21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IFERROR(INDEX(Datos!$A$2:$K$102,Formulas!N160,RIGHT(Formulas!P160)+2),"")))</f>
        <v/>
      </c>
      <c r="O163" s="121" t="str" cm="1">
        <f t="array" aca="1" ref="O163" ca="1">IF(OR(Formulas!P161=0,Formulas!P161=""),"",HYPERLINK("["&amp;Archivo_Nombre&amp;"]Datos!"&amp;LEFT(SUBSTITUTE(ADDRESS(1,Formulas!P161+2),"$",""))&amp;Formulas!O161+1,
IFERROR(INDEX(Datos!$A$2:$K$102,Formulas!O161,Formulas!P161+2),"")))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21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IFERROR(INDEX(Datos!$A$2:$K$102,Formulas!S160,RIGHT(Formulas!U160)+2),"")))</f>
        <v>45853</v>
      </c>
      <c r="T163" s="121" t="e" cm="1">
        <f t="array" aca="1" ref="T163" ca="1">IF(OR(Formulas!U161=0,Formulas!U161=""),"",HYPERLINK("["&amp;Archivo_Nombre&amp;"]Datos!"&amp;LEFT(SUBSTITUTE(ADDRESS(1,Formulas!U161+2),"$",""))&amp;Formulas!T161+1,
IFERROR(INDEX(Datos!$A$2:$K$102,Formulas!T161,Formulas!U161+2),"")))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21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IFERROR(INDEX(Datos!$A$2:$K$102,Formulas!X160,RIGHT(Formulas!Z160)+2),"")))</f>
        <v/>
      </c>
      <c r="Y163" s="121" t="str" cm="1">
        <f t="array" aca="1" ref="Y163" ca="1">IF(OR(Formulas!Z161=0,Formulas!Z161=""),"",HYPERLINK("["&amp;Archivo_Nombre&amp;"]Datos!"&amp;LEFT(SUBSTITUTE(ADDRESS(1,Formulas!Z161+2),"$",""))&amp;Formulas!Y161+1,
IFERROR(INDEX(Datos!$A$2:$K$102,Formulas!Y161,Formulas!Z161+2),"")))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21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IFERROR(INDEX(Datos!$A$2:$K$102,Formulas!AC160,RIGHT(Formulas!AE160)+2),"")))</f>
        <v/>
      </c>
      <c r="AD163" s="121" t="str" cm="1">
        <f t="array" aca="1" ref="AD163" ca="1">IF(OR(Formulas!AE161=0,Formulas!AE161=""),"",HYPERLINK("["&amp;Archivo_Nombre&amp;"]Datos!"&amp;LEFT(SUBSTITUTE(ADDRESS(1,Formulas!AE161+2),"$",""))&amp;Formulas!AD161+1,
IFERROR(INDEX(Datos!$A$2:$K$102,Formulas!AD161,Formulas!AE161+2),"")))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21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IFERROR(INDEX(Datos!$A$2:$K$102,Formulas!AH160,RIGHT(Formulas!AJ160)+2),"")))</f>
        <v/>
      </c>
      <c r="AI163" s="121" t="str" cm="1">
        <f t="array" aca="1" ref="AI163" ca="1">IF(OR(Formulas!AJ161=0,Formulas!AJ161=""),"",HYPERLINK("["&amp;Archivo_Nombre&amp;"]Datos!"&amp;LEFT(SUBSTITUTE(ADDRESS(1,Formulas!AJ161+2),"$",""))&amp;Formulas!AI161+1,
IFERROR(INDEX(Datos!$A$2:$K$102,Formulas!AI161,Formulas!AJ161+2),"")))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21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IFERROR(INDEX(Datos!$A$2:$K$102,Formulas!AM160,RIGHT(Formulas!AO160)+2),"")))</f>
        <v/>
      </c>
      <c r="AN163" s="121" t="str" cm="1">
        <f t="array" aca="1" ref="AN163" ca="1">IF(OR(Formulas!AO161=0,Formulas!AO161=""),"",HYPERLINK("["&amp;Archivo_Nombre&amp;"]Datos!"&amp;LEFT(SUBSTITUTE(ADDRESS(1,Formulas!AO161+2),"$",""))&amp;Formulas!AN161+1,
IFERROR(INDEX(Datos!$A$2:$K$102,Formulas!AN161,Formulas!AO161+2),"")))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21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IFERROR(INDEX(Datos!$A$2:$K$102,Formulas!AR160,RIGHT(Formulas!AT160)+2),"")))</f>
        <v/>
      </c>
      <c r="AS163" s="121" t="str" cm="1">
        <f t="array" aca="1" ref="AS163" ca="1">IF(OR(Formulas!AT161=0,Formulas!AT161=""),"",HYPERLINK("["&amp;Archivo_Nombre&amp;"]Datos!"&amp;LEFT(SUBSTITUTE(ADDRESS(1,Formulas!AT161+2),"$",""))&amp;Formulas!AS161+1,
IFERROR(INDEX(Datos!$A$2:$K$102,Formulas!AS161,Formulas!AT161+2),"")))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21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IFERROR(INDEX(Datos!$A$2:$K$102,Formulas!AW160,RIGHT(Formulas!AY160)+2),"")))</f>
        <v/>
      </c>
      <c r="AX163" s="121" t="str" cm="1">
        <f t="array" aca="1" ref="AX163" ca="1">IF(OR(Formulas!AY161=0,Formulas!AY161=""),"",HYPERLINK("["&amp;Archivo_Nombre&amp;"]Datos!"&amp;LEFT(SUBSTITUTE(ADDRESS(1,Formulas!AY161+2),"$",""))&amp;Formulas!AX161+1,
IFERROR(INDEX(Datos!$A$2:$K$102,Formulas!AX161,Formulas!AY161+2),"")))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21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IFERROR(INDEX(Datos!$A$2:$K$102,Formulas!D161,RIGHT(Formulas!F161)+2),"")))</f>
        <v/>
      </c>
      <c r="E164" s="121" t="str" cm="1">
        <f t="array" aca="1" ref="E164" ca="1">IF(OR(Formulas!F162=0,Formulas!F162=""),"",HYPERLINK("["&amp;Archivo_Nombre&amp;"]Datos!"&amp;LEFT(SUBSTITUTE(ADDRESS(1,Formulas!F162+2),"$",""))&amp;Formulas!E162+1,
IFERROR(INDEX(Datos!$A$2:$K$102,Formulas!E162,Formulas!F162+2),"")))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21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IFERROR(INDEX(Datos!$A$2:$K$102,Formulas!I161,RIGHT(Formulas!K161)+2),"")))</f>
        <v/>
      </c>
      <c r="J164" s="121" t="str" cm="1">
        <f t="array" aca="1" ref="J164" ca="1">IF(OR(Formulas!K162=0,Formulas!K162=""),"",HYPERLINK("["&amp;Archivo_Nombre&amp;"]Datos!"&amp;LEFT(SUBSTITUTE(ADDRESS(1,Formulas!K162+2),"$",""))&amp;Formulas!J162+1,
IFERROR(INDEX(Datos!$A$2:$K$102,Formulas!J162,Formulas!K162+2),"")))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21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IFERROR(INDEX(Datos!$A$2:$K$102,Formulas!N161,RIGHT(Formulas!P161)+2),"")))</f>
        <v/>
      </c>
      <c r="O164" s="121" t="str" cm="1">
        <f t="array" aca="1" ref="O164" ca="1">IF(OR(Formulas!P162=0,Formulas!P162=""),"",HYPERLINK("["&amp;Archivo_Nombre&amp;"]Datos!"&amp;LEFT(SUBSTITUTE(ADDRESS(1,Formulas!P162+2),"$",""))&amp;Formulas!O162+1,
IFERROR(INDEX(Datos!$A$2:$K$102,Formulas!O162,Formulas!P162+2),"")))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21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IFERROR(INDEX(Datos!$A$2:$K$102,Formulas!S161,RIGHT(Formulas!U161)+2),"")))</f>
        <v>3 días</v>
      </c>
      <c r="T164" s="121" t="e" cm="1">
        <f t="array" aca="1" ref="T164" ca="1">IF(OR(Formulas!U162=0,Formulas!U162=""),"",HYPERLINK("["&amp;Archivo_Nombre&amp;"]Datos!"&amp;LEFT(SUBSTITUTE(ADDRESS(1,Formulas!U162+2),"$",""))&amp;Formulas!T162+1,
IFERROR(INDEX(Datos!$A$2:$K$102,Formulas!T162,Formulas!U162+2),"")))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21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IFERROR(INDEX(Datos!$A$2:$K$102,Formulas!X161,RIGHT(Formulas!Z161)+2),"")))</f>
        <v/>
      </c>
      <c r="Y164" s="121" t="str" cm="1">
        <f t="array" aca="1" ref="Y164" ca="1">IF(OR(Formulas!Z162=0,Formulas!Z162=""),"",HYPERLINK("["&amp;Archivo_Nombre&amp;"]Datos!"&amp;LEFT(SUBSTITUTE(ADDRESS(1,Formulas!Z162+2),"$",""))&amp;Formulas!Y162+1,
IFERROR(INDEX(Datos!$A$2:$K$102,Formulas!Y162,Formulas!Z162+2),"")))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21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IFERROR(INDEX(Datos!$A$2:$K$102,Formulas!AC161,RIGHT(Formulas!AE161)+2),"")))</f>
        <v/>
      </c>
      <c r="AD164" s="121" t="str" cm="1">
        <f t="array" aca="1" ref="AD164" ca="1">IF(OR(Formulas!AE162=0,Formulas!AE162=""),"",HYPERLINK("["&amp;Archivo_Nombre&amp;"]Datos!"&amp;LEFT(SUBSTITUTE(ADDRESS(1,Formulas!AE162+2),"$",""))&amp;Formulas!AD162+1,
IFERROR(INDEX(Datos!$A$2:$K$102,Formulas!AD162,Formulas!AE162+2),"")))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21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IFERROR(INDEX(Datos!$A$2:$K$102,Formulas!AH161,RIGHT(Formulas!AJ161)+2),"")))</f>
        <v/>
      </c>
      <c r="AI164" s="121" t="str" cm="1">
        <f t="array" aca="1" ref="AI164" ca="1">IF(OR(Formulas!AJ162=0,Formulas!AJ162=""),"",HYPERLINK("["&amp;Archivo_Nombre&amp;"]Datos!"&amp;LEFT(SUBSTITUTE(ADDRESS(1,Formulas!AJ162+2),"$",""))&amp;Formulas!AI162+1,
IFERROR(INDEX(Datos!$A$2:$K$102,Formulas!AI162,Formulas!AJ162+2),"")))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21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IFERROR(INDEX(Datos!$A$2:$K$102,Formulas!AM161,RIGHT(Formulas!AO161)+2),"")))</f>
        <v/>
      </c>
      <c r="AN164" s="121" t="str" cm="1">
        <f t="array" aca="1" ref="AN164" ca="1">IF(OR(Formulas!AO162=0,Formulas!AO162=""),"",HYPERLINK("["&amp;Archivo_Nombre&amp;"]Datos!"&amp;LEFT(SUBSTITUTE(ADDRESS(1,Formulas!AO162+2),"$",""))&amp;Formulas!AN162+1,
IFERROR(INDEX(Datos!$A$2:$K$102,Formulas!AN162,Formulas!AO162+2),"")))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21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IFERROR(INDEX(Datos!$A$2:$K$102,Formulas!AR161,RIGHT(Formulas!AT161)+2),"")))</f>
        <v/>
      </c>
      <c r="AS164" s="121" t="str" cm="1">
        <f t="array" aca="1" ref="AS164" ca="1">IF(OR(Formulas!AT162=0,Formulas!AT162=""),"",HYPERLINK("["&amp;Archivo_Nombre&amp;"]Datos!"&amp;LEFT(SUBSTITUTE(ADDRESS(1,Formulas!AT162+2),"$",""))&amp;Formulas!AS162+1,
IFERROR(INDEX(Datos!$A$2:$K$102,Formulas!AS162,Formulas!AT162+2),"")))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21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IFERROR(INDEX(Datos!$A$2:$K$102,Formulas!AW161,RIGHT(Formulas!AY161)+2),"")))</f>
        <v/>
      </c>
      <c r="AX164" s="121" t="str" cm="1">
        <f t="array" aca="1" ref="AX164" ca="1">IF(OR(Formulas!AY162=0,Formulas!AY162=""),"",HYPERLINK("["&amp;Archivo_Nombre&amp;"]Datos!"&amp;LEFT(SUBSTITUTE(ADDRESS(1,Formulas!AY162+2),"$",""))&amp;Formulas!AX162+1,
IFERROR(INDEX(Datos!$A$2:$K$102,Formulas!AX162,Formulas!AY162+2),"")))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21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IFERROR(INDEX(Datos!$A$2:$K$102,Formulas!D162,RIGHT(Formulas!F162)+2),"")))</f>
        <v/>
      </c>
      <c r="E165" s="121" t="str" cm="1">
        <f t="array" aca="1" ref="E165" ca="1">IF(OR(Formulas!F163=0,Formulas!F163=""),"",HYPERLINK("["&amp;Archivo_Nombre&amp;"]Datos!"&amp;LEFT(SUBSTITUTE(ADDRESS(1,Formulas!F163+2),"$",""))&amp;Formulas!E163+1,
IFERROR(INDEX(Datos!$A$2:$K$102,Formulas!E163,Formulas!F163+2),"")))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21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IFERROR(INDEX(Datos!$A$2:$K$102,Formulas!I162,RIGHT(Formulas!K162)+2),"")))</f>
        <v/>
      </c>
      <c r="J165" s="121" t="str" cm="1">
        <f t="array" aca="1" ref="J165" ca="1">IF(OR(Formulas!K163=0,Formulas!K163=""),"",HYPERLINK("["&amp;Archivo_Nombre&amp;"]Datos!"&amp;LEFT(SUBSTITUTE(ADDRESS(1,Formulas!K163+2),"$",""))&amp;Formulas!J163+1,
IFERROR(INDEX(Datos!$A$2:$K$102,Formulas!J163,Formulas!K163+2),"")))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21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IFERROR(INDEX(Datos!$A$2:$K$102,Formulas!N162,RIGHT(Formulas!P162)+2),"")))</f>
        <v/>
      </c>
      <c r="O165" s="121" t="str" cm="1">
        <f t="array" aca="1" ref="O165" ca="1">IF(OR(Formulas!P163=0,Formulas!P163=""),"",HYPERLINK("["&amp;Archivo_Nombre&amp;"]Datos!"&amp;LEFT(SUBSTITUTE(ADDRESS(1,Formulas!P163+2),"$",""))&amp;Formulas!O163+1,
IFERROR(INDEX(Datos!$A$2:$K$102,Formulas!O163,Formulas!P163+2),"")))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21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IFERROR(INDEX(Datos!$A$2:$K$102,Formulas!S162,RIGHT(Formulas!U162)+2),"")))</f>
        <v>0 días</v>
      </c>
      <c r="T165" s="121" t="e" cm="1">
        <f t="array" aca="1" ref="T165" ca="1">IF(OR(Formulas!U163=0,Formulas!U163=""),"",HYPERLINK("["&amp;Archivo_Nombre&amp;"]Datos!"&amp;LEFT(SUBSTITUTE(ADDRESS(1,Formulas!U163+2),"$",""))&amp;Formulas!T163+1,
IFERROR(INDEX(Datos!$A$2:$K$102,Formulas!T163,Formulas!U163+2),"")))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21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IFERROR(INDEX(Datos!$A$2:$K$102,Formulas!X162,RIGHT(Formulas!Z162)+2),"")))</f>
        <v/>
      </c>
      <c r="Y165" s="121" t="str" cm="1">
        <f t="array" aca="1" ref="Y165" ca="1">IF(OR(Formulas!Z163=0,Formulas!Z163=""),"",HYPERLINK("["&amp;Archivo_Nombre&amp;"]Datos!"&amp;LEFT(SUBSTITUTE(ADDRESS(1,Formulas!Z163+2),"$",""))&amp;Formulas!Y163+1,
IFERROR(INDEX(Datos!$A$2:$K$102,Formulas!Y163,Formulas!Z163+2),"")))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21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IFERROR(INDEX(Datos!$A$2:$K$102,Formulas!AC162,RIGHT(Formulas!AE162)+2),"")))</f>
        <v/>
      </c>
      <c r="AD165" s="121" t="str" cm="1">
        <f t="array" aca="1" ref="AD165" ca="1">IF(OR(Formulas!AE163=0,Formulas!AE163=""),"",HYPERLINK("["&amp;Archivo_Nombre&amp;"]Datos!"&amp;LEFT(SUBSTITUTE(ADDRESS(1,Formulas!AE163+2),"$",""))&amp;Formulas!AD163+1,
IFERROR(INDEX(Datos!$A$2:$K$102,Formulas!AD163,Formulas!AE163+2),"")))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21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IFERROR(INDEX(Datos!$A$2:$K$102,Formulas!AH162,RIGHT(Formulas!AJ162)+2),"")))</f>
        <v/>
      </c>
      <c r="AI165" s="121" t="str" cm="1">
        <f t="array" aca="1" ref="AI165" ca="1">IF(OR(Formulas!AJ163=0,Formulas!AJ163=""),"",HYPERLINK("["&amp;Archivo_Nombre&amp;"]Datos!"&amp;LEFT(SUBSTITUTE(ADDRESS(1,Formulas!AJ163+2),"$",""))&amp;Formulas!AI163+1,
IFERROR(INDEX(Datos!$A$2:$K$102,Formulas!AI163,Formulas!AJ163+2),"")))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21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IFERROR(INDEX(Datos!$A$2:$K$102,Formulas!AM162,RIGHT(Formulas!AO162)+2),"")))</f>
        <v/>
      </c>
      <c r="AN165" s="121" t="str" cm="1">
        <f t="array" aca="1" ref="AN165" ca="1">IF(OR(Formulas!AO163=0,Formulas!AO163=""),"",HYPERLINK("["&amp;Archivo_Nombre&amp;"]Datos!"&amp;LEFT(SUBSTITUTE(ADDRESS(1,Formulas!AO163+2),"$",""))&amp;Formulas!AN163+1,
IFERROR(INDEX(Datos!$A$2:$K$102,Formulas!AN163,Formulas!AO163+2),"")))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21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IFERROR(INDEX(Datos!$A$2:$K$102,Formulas!AR162,RIGHT(Formulas!AT162)+2),"")))</f>
        <v/>
      </c>
      <c r="AS165" s="121" t="str" cm="1">
        <f t="array" aca="1" ref="AS165" ca="1">IF(OR(Formulas!AT163=0,Formulas!AT163=""),"",HYPERLINK("["&amp;Archivo_Nombre&amp;"]Datos!"&amp;LEFT(SUBSTITUTE(ADDRESS(1,Formulas!AT163+2),"$",""))&amp;Formulas!AS163+1,
IFERROR(INDEX(Datos!$A$2:$K$102,Formulas!AS163,Formulas!AT163+2),"")))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21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IFERROR(INDEX(Datos!$A$2:$K$102,Formulas!AW162,RIGHT(Formulas!AY162)+2),"")))</f>
        <v/>
      </c>
      <c r="AX165" s="121" t="str" cm="1">
        <f t="array" aca="1" ref="AX165" ca="1">IF(OR(Formulas!AY163=0,Formulas!AY163=""),"",HYPERLINK("["&amp;Archivo_Nombre&amp;"]Datos!"&amp;LEFT(SUBSTITUTE(ADDRESS(1,Formulas!AY163+2),"$",""))&amp;Formulas!AX163+1,
IFERROR(INDEX(Datos!$A$2:$K$102,Formulas!AX163,Formulas!AY163+2),"")))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21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IFERROR(INDEX(Datos!$A$2:$K$102,Formulas!D163,RIGHT(Formulas!F163)+2),"")))</f>
        <v/>
      </c>
      <c r="E166" s="121" t="str" cm="1">
        <f t="array" aca="1" ref="E166" ca="1">IF(OR(Formulas!F164=0,Formulas!F164=""),"",HYPERLINK("["&amp;Archivo_Nombre&amp;"]Datos!"&amp;LEFT(SUBSTITUTE(ADDRESS(1,Formulas!F164+2),"$",""))&amp;Formulas!E164+1,
IFERROR(INDEX(Datos!$A$2:$K$102,Formulas!E164,Formulas!F164+2),"")))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21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IFERROR(INDEX(Datos!$A$2:$K$102,Formulas!I163,RIGHT(Formulas!K163)+2),"")))</f>
        <v/>
      </c>
      <c r="J166" s="121" t="str" cm="1">
        <f t="array" aca="1" ref="J166" ca="1">IF(OR(Formulas!K164=0,Formulas!K164=""),"",HYPERLINK("["&amp;Archivo_Nombre&amp;"]Datos!"&amp;LEFT(SUBSTITUTE(ADDRESS(1,Formulas!K164+2),"$",""))&amp;Formulas!J164+1,
IFERROR(INDEX(Datos!$A$2:$K$102,Formulas!J164,Formulas!K164+2),"")))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21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IFERROR(INDEX(Datos!$A$2:$K$102,Formulas!N163,RIGHT(Formulas!P163)+2),"")))</f>
        <v/>
      </c>
      <c r="O166" s="121" t="str" cm="1">
        <f t="array" aca="1" ref="O166" ca="1">IF(OR(Formulas!P164=0,Formulas!P164=""),"",HYPERLINK("["&amp;Archivo_Nombre&amp;"]Datos!"&amp;LEFT(SUBSTITUTE(ADDRESS(1,Formulas!P164+2),"$",""))&amp;Formulas!O164+1,
IFERROR(INDEX(Datos!$A$2:$K$102,Formulas!O164,Formulas!P164+2),"")))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21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IFERROR(INDEX(Datos!$A$2:$K$102,Formulas!S163,RIGHT(Formulas!U163)+2),"")))</f>
        <v>Paulina Quishpe</v>
      </c>
      <c r="T166" s="121" t="str" cm="1">
        <f t="array" aca="1" ref="T166" ca="1">IF(OR(Formulas!U164=0,Formulas!U164=""),"",HYPERLINK("["&amp;Archivo_Nombre&amp;"]Datos!"&amp;LEFT(SUBSTITUTE(ADDRESS(1,Formulas!U164+2),"$",""))&amp;Formulas!T164+1,
IFERROR(INDEX(Datos!$A$2:$K$102,Formulas!T164,Formulas!U164+2),"")))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21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IFERROR(INDEX(Datos!$A$2:$K$102,Formulas!X163,RIGHT(Formulas!Z163)+2),"")))</f>
        <v/>
      </c>
      <c r="Y166" s="121" t="str" cm="1">
        <f t="array" aca="1" ref="Y166" ca="1">IF(OR(Formulas!Z164=0,Formulas!Z164=""),"",HYPERLINK("["&amp;Archivo_Nombre&amp;"]Datos!"&amp;LEFT(SUBSTITUTE(ADDRESS(1,Formulas!Z164+2),"$",""))&amp;Formulas!Y164+1,
IFERROR(INDEX(Datos!$A$2:$K$102,Formulas!Y164,Formulas!Z164+2),"")))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21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IFERROR(INDEX(Datos!$A$2:$K$102,Formulas!AC163,RIGHT(Formulas!AE163)+2),"")))</f>
        <v/>
      </c>
      <c r="AD166" s="121" t="str" cm="1">
        <f t="array" aca="1" ref="AD166" ca="1">IF(OR(Formulas!AE164=0,Formulas!AE164=""),"",HYPERLINK("["&amp;Archivo_Nombre&amp;"]Datos!"&amp;LEFT(SUBSTITUTE(ADDRESS(1,Formulas!AE164+2),"$",""))&amp;Formulas!AD164+1,
IFERROR(INDEX(Datos!$A$2:$K$102,Formulas!AD164,Formulas!AE164+2),"")))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21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IFERROR(INDEX(Datos!$A$2:$K$102,Formulas!AH163,RIGHT(Formulas!AJ163)+2),"")))</f>
        <v/>
      </c>
      <c r="AI166" s="121" t="str" cm="1">
        <f t="array" aca="1" ref="AI166" ca="1">IF(OR(Formulas!AJ164=0,Formulas!AJ164=""),"",HYPERLINK("["&amp;Archivo_Nombre&amp;"]Datos!"&amp;LEFT(SUBSTITUTE(ADDRESS(1,Formulas!AJ164+2),"$",""))&amp;Formulas!AI164+1,
IFERROR(INDEX(Datos!$A$2:$K$102,Formulas!AI164,Formulas!AJ164+2),"")))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21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IFERROR(INDEX(Datos!$A$2:$K$102,Formulas!AM163,RIGHT(Formulas!AO163)+2),"")))</f>
        <v/>
      </c>
      <c r="AN166" s="121" t="str" cm="1">
        <f t="array" aca="1" ref="AN166" ca="1">IF(OR(Formulas!AO164=0,Formulas!AO164=""),"",HYPERLINK("["&amp;Archivo_Nombre&amp;"]Datos!"&amp;LEFT(SUBSTITUTE(ADDRESS(1,Formulas!AO164+2),"$",""))&amp;Formulas!AN164+1,
IFERROR(INDEX(Datos!$A$2:$K$102,Formulas!AN164,Formulas!AO164+2),"")))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21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IFERROR(INDEX(Datos!$A$2:$K$102,Formulas!AR163,RIGHT(Formulas!AT163)+2),"")))</f>
        <v/>
      </c>
      <c r="AS166" s="121" t="str" cm="1">
        <f t="array" aca="1" ref="AS166" ca="1">IF(OR(Formulas!AT164=0,Formulas!AT164=""),"",HYPERLINK("["&amp;Archivo_Nombre&amp;"]Datos!"&amp;LEFT(SUBSTITUTE(ADDRESS(1,Formulas!AT164+2),"$",""))&amp;Formulas!AS164+1,
IFERROR(INDEX(Datos!$A$2:$K$102,Formulas!AS164,Formulas!AT164+2),"")))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21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IFERROR(INDEX(Datos!$A$2:$K$102,Formulas!AW163,RIGHT(Formulas!AY163)+2),"")))</f>
        <v/>
      </c>
      <c r="AX166" s="121" t="str" cm="1">
        <f t="array" aca="1" ref="AX166" ca="1">IF(OR(Formulas!AY164=0,Formulas!AY164=""),"",HYPERLINK("["&amp;Archivo_Nombre&amp;"]Datos!"&amp;LEFT(SUBSTITUTE(ADDRESS(1,Formulas!AY164+2),"$",""))&amp;Formulas!AX164+1,
IFERROR(INDEX(Datos!$A$2:$K$102,Formulas!AX164,Formulas!AY164+2),"")))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21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IFERROR(INDEX(Datos!$A$2:$K$102,Formulas!D164,RIGHT(Formulas!F164)+2),"")))</f>
        <v/>
      </c>
      <c r="E167" s="121" t="str" cm="1">
        <f t="array" aca="1" ref="E167" ca="1">IF(OR(Formulas!F165=0,Formulas!F165=""),"",HYPERLINK("["&amp;Archivo_Nombre&amp;"]Datos!"&amp;LEFT(SUBSTITUTE(ADDRESS(1,Formulas!F165+2),"$",""))&amp;Formulas!E165+1,
IFERROR(INDEX(Datos!$A$2:$K$102,Formulas!E165,Formulas!F165+2),"")))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21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IFERROR(INDEX(Datos!$A$2:$K$102,Formulas!I164,RIGHT(Formulas!K164)+2),"")))</f>
        <v/>
      </c>
      <c r="J167" s="121" t="str" cm="1">
        <f t="array" aca="1" ref="J167" ca="1">IF(OR(Formulas!K165=0,Formulas!K165=""),"",HYPERLINK("["&amp;Archivo_Nombre&amp;"]Datos!"&amp;LEFT(SUBSTITUTE(ADDRESS(1,Formulas!K165+2),"$",""))&amp;Formulas!J165+1,
IFERROR(INDEX(Datos!$A$2:$K$102,Formulas!J165,Formulas!K165+2),"")))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21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IFERROR(INDEX(Datos!$A$2:$K$102,Formulas!N164,RIGHT(Formulas!P164)+2),"")))</f>
        <v/>
      </c>
      <c r="O167" s="121" t="str" cm="1">
        <f t="array" aca="1" ref="O167" ca="1">IF(OR(Formulas!P165=0,Formulas!P165=""),"",HYPERLINK("["&amp;Archivo_Nombre&amp;"]Datos!"&amp;LEFT(SUBSTITUTE(ADDRESS(1,Formulas!P165+2),"$",""))&amp;Formulas!O165+1,
IFERROR(INDEX(Datos!$A$2:$K$102,Formulas!O165,Formulas!P165+2),"")))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21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IFERROR(INDEX(Datos!$A$2:$K$102,Formulas!S164,RIGHT(Formulas!U164)+2),"")))</f>
        <v/>
      </c>
      <c r="T167" s="121" t="e" cm="1">
        <f t="array" aca="1" ref="T167" ca="1">IF(OR(Formulas!U165=0,Formulas!U165=""),"",HYPERLINK("["&amp;Archivo_Nombre&amp;"]Datos!"&amp;LEFT(SUBSTITUTE(ADDRESS(1,Formulas!U165+2),"$",""))&amp;Formulas!T165+1,
IFERROR(INDEX(Datos!$A$2:$K$102,Formulas!T165,Formulas!U165+2),"")))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21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IFERROR(INDEX(Datos!$A$2:$K$102,Formulas!X164,RIGHT(Formulas!Z164)+2),"")))</f>
        <v/>
      </c>
      <c r="Y167" s="121" t="str" cm="1">
        <f t="array" aca="1" ref="Y167" ca="1">IF(OR(Formulas!Z165=0,Formulas!Z165=""),"",HYPERLINK("["&amp;Archivo_Nombre&amp;"]Datos!"&amp;LEFT(SUBSTITUTE(ADDRESS(1,Formulas!Z165+2),"$",""))&amp;Formulas!Y165+1,
IFERROR(INDEX(Datos!$A$2:$K$102,Formulas!Y165,Formulas!Z165+2),"")))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21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IFERROR(INDEX(Datos!$A$2:$K$102,Formulas!AC164,RIGHT(Formulas!AE164)+2),"")))</f>
        <v/>
      </c>
      <c r="AD167" s="121" t="str" cm="1">
        <f t="array" aca="1" ref="AD167" ca="1">IF(OR(Formulas!AE165=0,Formulas!AE165=""),"",HYPERLINK("["&amp;Archivo_Nombre&amp;"]Datos!"&amp;LEFT(SUBSTITUTE(ADDRESS(1,Formulas!AE165+2),"$",""))&amp;Formulas!AD165+1,
IFERROR(INDEX(Datos!$A$2:$K$102,Formulas!AD165,Formulas!AE165+2),"")))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21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IFERROR(INDEX(Datos!$A$2:$K$102,Formulas!AH164,RIGHT(Formulas!AJ164)+2),"")))</f>
        <v/>
      </c>
      <c r="AI167" s="121" t="str" cm="1">
        <f t="array" aca="1" ref="AI167" ca="1">IF(OR(Formulas!AJ165=0,Formulas!AJ165=""),"",HYPERLINK("["&amp;Archivo_Nombre&amp;"]Datos!"&amp;LEFT(SUBSTITUTE(ADDRESS(1,Formulas!AJ165+2),"$",""))&amp;Formulas!AI165+1,
IFERROR(INDEX(Datos!$A$2:$K$102,Formulas!AI165,Formulas!AJ165+2),"")))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21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IFERROR(INDEX(Datos!$A$2:$K$102,Formulas!AM164,RIGHT(Formulas!AO164)+2),"")))</f>
        <v/>
      </c>
      <c r="AN167" s="121" t="str" cm="1">
        <f t="array" aca="1" ref="AN167" ca="1">IF(OR(Formulas!AO165=0,Formulas!AO165=""),"",HYPERLINK("["&amp;Archivo_Nombre&amp;"]Datos!"&amp;LEFT(SUBSTITUTE(ADDRESS(1,Formulas!AO165+2),"$",""))&amp;Formulas!AN165+1,
IFERROR(INDEX(Datos!$A$2:$K$102,Formulas!AN165,Formulas!AO165+2),"")))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21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IFERROR(INDEX(Datos!$A$2:$K$102,Formulas!AR164,RIGHT(Formulas!AT164)+2),"")))</f>
        <v/>
      </c>
      <c r="AS167" s="121" t="str" cm="1">
        <f t="array" aca="1" ref="AS167" ca="1">IF(OR(Formulas!AT165=0,Formulas!AT165=""),"",HYPERLINK("["&amp;Archivo_Nombre&amp;"]Datos!"&amp;LEFT(SUBSTITUTE(ADDRESS(1,Formulas!AT165+2),"$",""))&amp;Formulas!AS165+1,
IFERROR(INDEX(Datos!$A$2:$K$102,Formulas!AS165,Formulas!AT165+2),"")))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21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IFERROR(INDEX(Datos!$A$2:$K$102,Formulas!AW164,RIGHT(Formulas!AY164)+2),"")))</f>
        <v/>
      </c>
      <c r="AX167" s="121" t="str" cm="1">
        <f t="array" aca="1" ref="AX167" ca="1">IF(OR(Formulas!AY165=0,Formulas!AY165=""),"",HYPERLINK("["&amp;Archivo_Nombre&amp;"]Datos!"&amp;LEFT(SUBSTITUTE(ADDRESS(1,Formulas!AY165+2),"$",""))&amp;Formulas!AX165+1,
IFERROR(INDEX(Datos!$A$2:$K$102,Formulas!AX165,Formulas!AY165+2),"")))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21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IFERROR(INDEX(Datos!$A$2:$K$102,Formulas!D165,RIGHT(Formulas!F165)+2),"")))</f>
        <v/>
      </c>
      <c r="E168" s="121" t="str" cm="1">
        <f t="array" aca="1" ref="E168" ca="1">IF(OR(Formulas!F166=0,Formulas!F166=""),"",HYPERLINK("["&amp;Archivo_Nombre&amp;"]Datos!"&amp;LEFT(SUBSTITUTE(ADDRESS(1,Formulas!F166+2),"$",""))&amp;Formulas!E166+1,
IFERROR(INDEX(Datos!$A$2:$K$102,Formulas!E166,Formulas!F166+2),"")))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21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IFERROR(INDEX(Datos!$A$2:$K$102,Formulas!I165,RIGHT(Formulas!K165)+2),"")))</f>
        <v/>
      </c>
      <c r="J168" s="121" t="str" cm="1">
        <f t="array" aca="1" ref="J168" ca="1">IF(OR(Formulas!K166=0,Formulas!K166=""),"",HYPERLINK("["&amp;Archivo_Nombre&amp;"]Datos!"&amp;LEFT(SUBSTITUTE(ADDRESS(1,Formulas!K166+2),"$",""))&amp;Formulas!J166+1,
IFERROR(INDEX(Datos!$A$2:$K$102,Formulas!J166,Formulas!K166+2),"")))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21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IFERROR(INDEX(Datos!$A$2:$K$102,Formulas!N165,RIGHT(Formulas!P165)+2),"")))</f>
        <v/>
      </c>
      <c r="O168" s="121" t="str" cm="1">
        <f t="array" aca="1" ref="O168" ca="1">IF(OR(Formulas!P166=0,Formulas!P166=""),"",HYPERLINK("["&amp;Archivo_Nombre&amp;"]Datos!"&amp;LEFT(SUBSTITUTE(ADDRESS(1,Formulas!P166+2),"$",""))&amp;Formulas!O166+1,
IFERROR(INDEX(Datos!$A$2:$K$102,Formulas!O166,Formulas!P166+2),"")))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40:</v>
      </c>
      <c r="S168" s="121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IFERROR(INDEX(Datos!$A$2:$K$102,Formulas!S165,RIGHT(Formulas!U165)+2),"")))</f>
        <v>REQ005 Modificación de contratos.</v>
      </c>
      <c r="T168" s="121" t="e" cm="1">
        <f t="array" aca="1" ref="T168" ca="1">IF(OR(Formulas!U166=0,Formulas!U166=""),"",HYPERLINK("["&amp;Archivo_Nombre&amp;"]Datos!"&amp;LEFT(SUBSTITUTE(ADDRESS(1,Formulas!U166+2),"$",""))&amp;Formulas!T166+1,
IFERROR(INDEX(Datos!$A$2:$K$102,Formulas!T166,Formulas!U166+2),"")))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21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IFERROR(INDEX(Datos!$A$2:$K$102,Formulas!X165,RIGHT(Formulas!Z165)+2),"")))</f>
        <v/>
      </c>
      <c r="Y168" s="121" t="str" cm="1">
        <f t="array" aca="1" ref="Y168" ca="1">IF(OR(Formulas!Z166=0,Formulas!Z166=""),"",HYPERLINK("["&amp;Archivo_Nombre&amp;"]Datos!"&amp;LEFT(SUBSTITUTE(ADDRESS(1,Formulas!Z166+2),"$",""))&amp;Formulas!Y166+1,
IFERROR(INDEX(Datos!$A$2:$K$102,Formulas!Y166,Formulas!Z166+2),"")))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21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IFERROR(INDEX(Datos!$A$2:$K$102,Formulas!AC165,RIGHT(Formulas!AE165)+2),"")))</f>
        <v/>
      </c>
      <c r="AD168" s="121" t="str" cm="1">
        <f t="array" aca="1" ref="AD168" ca="1">IF(OR(Formulas!AE166=0,Formulas!AE166=""),"",HYPERLINK("["&amp;Archivo_Nombre&amp;"]Datos!"&amp;LEFT(SUBSTITUTE(ADDRESS(1,Formulas!AE166+2),"$",""))&amp;Formulas!AD166+1,
IFERROR(INDEX(Datos!$A$2:$K$102,Formulas!AD166,Formulas!AE166+2),"")))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21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IFERROR(INDEX(Datos!$A$2:$K$102,Formulas!AH165,RIGHT(Formulas!AJ165)+2),"")))</f>
        <v/>
      </c>
      <c r="AI168" s="121" t="str" cm="1">
        <f t="array" aca="1" ref="AI168" ca="1">IF(OR(Formulas!AJ166=0,Formulas!AJ166=""),"",HYPERLINK("["&amp;Archivo_Nombre&amp;"]Datos!"&amp;LEFT(SUBSTITUTE(ADDRESS(1,Formulas!AJ166+2),"$",""))&amp;Formulas!AI166+1,
IFERROR(INDEX(Datos!$A$2:$K$102,Formulas!AI166,Formulas!AJ166+2),"")))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21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IFERROR(INDEX(Datos!$A$2:$K$102,Formulas!AM165,RIGHT(Formulas!AO165)+2),"")))</f>
        <v/>
      </c>
      <c r="AN168" s="121" t="str" cm="1">
        <f t="array" aca="1" ref="AN168" ca="1">IF(OR(Formulas!AO166=0,Formulas!AO166=""),"",HYPERLINK("["&amp;Archivo_Nombre&amp;"]Datos!"&amp;LEFT(SUBSTITUTE(ADDRESS(1,Formulas!AO166+2),"$",""))&amp;Formulas!AN166+1,
IFERROR(INDEX(Datos!$A$2:$K$102,Formulas!AN166,Formulas!AO166+2),"")))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21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IFERROR(INDEX(Datos!$A$2:$K$102,Formulas!AR165,RIGHT(Formulas!AT165)+2),"")))</f>
        <v/>
      </c>
      <c r="AS168" s="121" t="str" cm="1">
        <f t="array" aca="1" ref="AS168" ca="1">IF(OR(Formulas!AT166=0,Formulas!AT166=""),"",HYPERLINK("["&amp;Archivo_Nombre&amp;"]Datos!"&amp;LEFT(SUBSTITUTE(ADDRESS(1,Formulas!AT166+2),"$",""))&amp;Formulas!AS166+1,
IFERROR(INDEX(Datos!$A$2:$K$102,Formulas!AS166,Formulas!AT166+2),"")))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21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IFERROR(INDEX(Datos!$A$2:$K$102,Formulas!AW165,RIGHT(Formulas!AY165)+2),"")))</f>
        <v/>
      </c>
      <c r="AX168" s="121" t="str" cm="1">
        <f t="array" aca="1" ref="AX168" ca="1">IF(OR(Formulas!AY166=0,Formulas!AY166=""),"",HYPERLINK("["&amp;Archivo_Nombre&amp;"]Datos!"&amp;LEFT(SUBSTITUTE(ADDRESS(1,Formulas!AY166+2),"$",""))&amp;Formulas!AX166+1,
IFERROR(INDEX(Datos!$A$2:$K$102,Formulas!AX166,Formulas!AY166+2),"")))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21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IFERROR(INDEX(Datos!$A$2:$K$102,Formulas!D166,RIGHT(Formulas!F166)+2),"")))</f>
        <v/>
      </c>
      <c r="E169" s="121" t="str" cm="1">
        <f t="array" aca="1" ref="E169" ca="1">IF(OR(Formulas!F167=0,Formulas!F167=""),"",HYPERLINK("["&amp;Archivo_Nombre&amp;"]Datos!"&amp;LEFT(SUBSTITUTE(ADDRESS(1,Formulas!F167+2),"$",""))&amp;Formulas!E167+1,
IFERROR(INDEX(Datos!$A$2:$K$102,Formulas!E167,Formulas!F167+2),"")))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21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IFERROR(INDEX(Datos!$A$2:$K$102,Formulas!I166,RIGHT(Formulas!K166)+2),"")))</f>
        <v/>
      </c>
      <c r="J169" s="121" t="str" cm="1">
        <f t="array" aca="1" ref="J169" ca="1">IF(OR(Formulas!K167=0,Formulas!K167=""),"",HYPERLINK("["&amp;Archivo_Nombre&amp;"]Datos!"&amp;LEFT(SUBSTITUTE(ADDRESS(1,Formulas!K167+2),"$",""))&amp;Formulas!J167+1,
IFERROR(INDEX(Datos!$A$2:$K$102,Formulas!J167,Formulas!K167+2),"")))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21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IFERROR(INDEX(Datos!$A$2:$K$102,Formulas!N166,RIGHT(Formulas!P166)+2),"")))</f>
        <v/>
      </c>
      <c r="O169" s="121" t="str" cm="1">
        <f t="array" aca="1" ref="O169" ca="1">IF(OR(Formulas!P167=0,Formulas!P167=""),"",HYPERLINK("["&amp;Archivo_Nombre&amp;"]Datos!"&amp;LEFT(SUBSTITUTE(ADDRESS(1,Formulas!P167+2),"$",""))&amp;Formulas!O167+1,
IFERROR(INDEX(Datos!$A$2:$K$102,Formulas!O167,Formulas!P167+2),"")))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21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IFERROR(INDEX(Datos!$A$2:$K$102,Formulas!S166,RIGHT(Formulas!U166)+2),"")))</f>
        <v>Editar contratos registrados con control de versiones</v>
      </c>
      <c r="T169" s="121" t="e" cm="1">
        <f t="array" aca="1" ref="T169" ca="1">IF(OR(Formulas!U167=0,Formulas!U167=""),"",HYPERLINK("["&amp;Archivo_Nombre&amp;"]Datos!"&amp;LEFT(SUBSTITUTE(ADDRESS(1,Formulas!U167+2),"$",""))&amp;Formulas!T167+1,
IFERROR(INDEX(Datos!$A$2:$K$102,Formulas!T167,Formulas!U167+2),"")))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21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IFERROR(INDEX(Datos!$A$2:$K$102,Formulas!X166,RIGHT(Formulas!Z166)+2),"")))</f>
        <v/>
      </c>
      <c r="Y169" s="121" t="str" cm="1">
        <f t="array" aca="1" ref="Y169" ca="1">IF(OR(Formulas!Z167=0,Formulas!Z167=""),"",HYPERLINK("["&amp;Archivo_Nombre&amp;"]Datos!"&amp;LEFT(SUBSTITUTE(ADDRESS(1,Formulas!Z167+2),"$",""))&amp;Formulas!Y167+1,
IFERROR(INDEX(Datos!$A$2:$K$102,Formulas!Y167,Formulas!Z167+2),"")))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21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IFERROR(INDEX(Datos!$A$2:$K$102,Formulas!AC166,RIGHT(Formulas!AE166)+2),"")))</f>
        <v/>
      </c>
      <c r="AD169" s="121" t="str" cm="1">
        <f t="array" aca="1" ref="AD169" ca="1">IF(OR(Formulas!AE167=0,Formulas!AE167=""),"",HYPERLINK("["&amp;Archivo_Nombre&amp;"]Datos!"&amp;LEFT(SUBSTITUTE(ADDRESS(1,Formulas!AE167+2),"$",""))&amp;Formulas!AD167+1,
IFERROR(INDEX(Datos!$A$2:$K$102,Formulas!AD167,Formulas!AE167+2),"")))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21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IFERROR(INDEX(Datos!$A$2:$K$102,Formulas!AH166,RIGHT(Formulas!AJ166)+2),"")))</f>
        <v/>
      </c>
      <c r="AI169" s="121" t="str" cm="1">
        <f t="array" aca="1" ref="AI169" ca="1">IF(OR(Formulas!AJ167=0,Formulas!AJ167=""),"",HYPERLINK("["&amp;Archivo_Nombre&amp;"]Datos!"&amp;LEFT(SUBSTITUTE(ADDRESS(1,Formulas!AJ167+2),"$",""))&amp;Formulas!AI167+1,
IFERROR(INDEX(Datos!$A$2:$K$102,Formulas!AI167,Formulas!AJ167+2),"")))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21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IFERROR(INDEX(Datos!$A$2:$K$102,Formulas!AM166,RIGHT(Formulas!AO166)+2),"")))</f>
        <v/>
      </c>
      <c r="AN169" s="121" t="str" cm="1">
        <f t="array" aca="1" ref="AN169" ca="1">IF(OR(Formulas!AO167=0,Formulas!AO167=""),"",HYPERLINK("["&amp;Archivo_Nombre&amp;"]Datos!"&amp;LEFT(SUBSTITUTE(ADDRESS(1,Formulas!AO167+2),"$",""))&amp;Formulas!AN167+1,
IFERROR(INDEX(Datos!$A$2:$K$102,Formulas!AN167,Formulas!AO167+2),"")))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21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IFERROR(INDEX(Datos!$A$2:$K$102,Formulas!AR166,RIGHT(Formulas!AT166)+2),"")))</f>
        <v/>
      </c>
      <c r="AS169" s="121" t="str" cm="1">
        <f t="array" aca="1" ref="AS169" ca="1">IF(OR(Formulas!AT167=0,Formulas!AT167=""),"",HYPERLINK("["&amp;Archivo_Nombre&amp;"]Datos!"&amp;LEFT(SUBSTITUTE(ADDRESS(1,Formulas!AT167+2),"$",""))&amp;Formulas!AS167+1,
IFERROR(INDEX(Datos!$A$2:$K$102,Formulas!AS167,Formulas!AT167+2),"")))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21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IFERROR(INDEX(Datos!$A$2:$K$102,Formulas!AW166,RIGHT(Formulas!AY166)+2),"")))</f>
        <v/>
      </c>
      <c r="AX169" s="121" t="str" cm="1">
        <f t="array" aca="1" ref="AX169" ca="1">IF(OR(Formulas!AY167=0,Formulas!AY167=""),"",HYPERLINK("["&amp;Archivo_Nombre&amp;"]Datos!"&amp;LEFT(SUBSTITUTE(ADDRESS(1,Formulas!AY167+2),"$",""))&amp;Formulas!AX167+1,
IFERROR(INDEX(Datos!$A$2:$K$102,Formulas!AX167,Formulas!AY167+2),"")))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21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IFERROR(INDEX(Datos!$A$2:$K$102,Formulas!D167,RIGHT(Formulas!F167)+2),"")))</f>
        <v/>
      </c>
      <c r="E170" s="121" t="str" cm="1">
        <f t="array" aca="1" ref="E170" ca="1">IF(OR(Formulas!F168=0,Formulas!F168=""),"",HYPERLINK("["&amp;Archivo_Nombre&amp;"]Datos!"&amp;LEFT(SUBSTITUTE(ADDRESS(1,Formulas!F168+2),"$",""))&amp;Formulas!E168+1,
IFERROR(INDEX(Datos!$A$2:$K$102,Formulas!E168,Formulas!F168+2),"")))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21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IFERROR(INDEX(Datos!$A$2:$K$102,Formulas!I167,RIGHT(Formulas!K167)+2),"")))</f>
        <v/>
      </c>
      <c r="J170" s="121" t="str" cm="1">
        <f t="array" aca="1" ref="J170" ca="1">IF(OR(Formulas!K168=0,Formulas!K168=""),"",HYPERLINK("["&amp;Archivo_Nombre&amp;"]Datos!"&amp;LEFT(SUBSTITUTE(ADDRESS(1,Formulas!K168+2),"$",""))&amp;Formulas!J168+1,
IFERROR(INDEX(Datos!$A$2:$K$102,Formulas!J168,Formulas!K168+2),"")))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21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IFERROR(INDEX(Datos!$A$2:$K$102,Formulas!N167,RIGHT(Formulas!P167)+2),"")))</f>
        <v/>
      </c>
      <c r="O170" s="121" t="str" cm="1">
        <f t="array" aca="1" ref="O170" ca="1">IF(OR(Formulas!P168=0,Formulas!P168=""),"",HYPERLINK("["&amp;Archivo_Nombre&amp;"]Datos!"&amp;LEFT(SUBSTITUTE(ADDRESS(1,Formulas!P168+2),"$",""))&amp;Formulas!O168+1,
IFERROR(INDEX(Datos!$A$2:$K$102,Formulas!O168,Formulas!P168+2),"")))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21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IFERROR(INDEX(Datos!$A$2:$K$102,Formulas!S167,RIGHT(Formulas!U167)+2),"")))</f>
        <v>45851</v>
      </c>
      <c r="T170" s="121" t="e" cm="1">
        <f t="array" aca="1" ref="T170" ca="1">IF(OR(Formulas!U168=0,Formulas!U168=""),"",HYPERLINK("["&amp;Archivo_Nombre&amp;"]Datos!"&amp;LEFT(SUBSTITUTE(ADDRESS(1,Formulas!U168+2),"$",""))&amp;Formulas!T168+1,
IFERROR(INDEX(Datos!$A$2:$K$102,Formulas!T168,Formulas!U168+2),"")))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21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IFERROR(INDEX(Datos!$A$2:$K$102,Formulas!X167,RIGHT(Formulas!Z167)+2),"")))</f>
        <v/>
      </c>
      <c r="Y170" s="121" t="str" cm="1">
        <f t="array" aca="1" ref="Y170" ca="1">IF(OR(Formulas!Z168=0,Formulas!Z168=""),"",HYPERLINK("["&amp;Archivo_Nombre&amp;"]Datos!"&amp;LEFT(SUBSTITUTE(ADDRESS(1,Formulas!Z168+2),"$",""))&amp;Formulas!Y168+1,
IFERROR(INDEX(Datos!$A$2:$K$102,Formulas!Y168,Formulas!Z168+2),"")))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21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IFERROR(INDEX(Datos!$A$2:$K$102,Formulas!AC167,RIGHT(Formulas!AE167)+2),"")))</f>
        <v/>
      </c>
      <c r="AD170" s="121" t="str" cm="1">
        <f t="array" aca="1" ref="AD170" ca="1">IF(OR(Formulas!AE168=0,Formulas!AE168=""),"",HYPERLINK("["&amp;Archivo_Nombre&amp;"]Datos!"&amp;LEFT(SUBSTITUTE(ADDRESS(1,Formulas!AE168+2),"$",""))&amp;Formulas!AD168+1,
IFERROR(INDEX(Datos!$A$2:$K$102,Formulas!AD168,Formulas!AE168+2),"")))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21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IFERROR(INDEX(Datos!$A$2:$K$102,Formulas!AH167,RIGHT(Formulas!AJ167)+2),"")))</f>
        <v/>
      </c>
      <c r="AI170" s="121" t="str" cm="1">
        <f t="array" aca="1" ref="AI170" ca="1">IF(OR(Formulas!AJ168=0,Formulas!AJ168=""),"",HYPERLINK("["&amp;Archivo_Nombre&amp;"]Datos!"&amp;LEFT(SUBSTITUTE(ADDRESS(1,Formulas!AJ168+2),"$",""))&amp;Formulas!AI168+1,
IFERROR(INDEX(Datos!$A$2:$K$102,Formulas!AI168,Formulas!AJ168+2),"")))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21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IFERROR(INDEX(Datos!$A$2:$K$102,Formulas!AM167,RIGHT(Formulas!AO167)+2),"")))</f>
        <v/>
      </c>
      <c r="AN170" s="121" t="str" cm="1">
        <f t="array" aca="1" ref="AN170" ca="1">IF(OR(Formulas!AO168=0,Formulas!AO168=""),"",HYPERLINK("["&amp;Archivo_Nombre&amp;"]Datos!"&amp;LEFT(SUBSTITUTE(ADDRESS(1,Formulas!AO168+2),"$",""))&amp;Formulas!AN168+1,
IFERROR(INDEX(Datos!$A$2:$K$102,Formulas!AN168,Formulas!AO168+2),"")))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21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IFERROR(INDEX(Datos!$A$2:$K$102,Formulas!AR167,RIGHT(Formulas!AT167)+2),"")))</f>
        <v/>
      </c>
      <c r="AS170" s="121" t="str" cm="1">
        <f t="array" aca="1" ref="AS170" ca="1">IF(OR(Formulas!AT168=0,Formulas!AT168=""),"",HYPERLINK("["&amp;Archivo_Nombre&amp;"]Datos!"&amp;LEFT(SUBSTITUTE(ADDRESS(1,Formulas!AT168+2),"$",""))&amp;Formulas!AS168+1,
IFERROR(INDEX(Datos!$A$2:$K$102,Formulas!AS168,Formulas!AT168+2),"")))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21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IFERROR(INDEX(Datos!$A$2:$K$102,Formulas!AW167,RIGHT(Formulas!AY167)+2),"")))</f>
        <v/>
      </c>
      <c r="AX170" s="121" t="str" cm="1">
        <f t="array" aca="1" ref="AX170" ca="1">IF(OR(Formulas!AY168=0,Formulas!AY168=""),"",HYPERLINK("["&amp;Archivo_Nombre&amp;"]Datos!"&amp;LEFT(SUBSTITUTE(ADDRESS(1,Formulas!AY168+2),"$",""))&amp;Formulas!AX168+1,
IFERROR(INDEX(Datos!$A$2:$K$102,Formulas!AX168,Formulas!AY168+2),"")))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21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IFERROR(INDEX(Datos!$A$2:$K$102,Formulas!D168,RIGHT(Formulas!F168)+2),"")))</f>
        <v/>
      </c>
      <c r="E171" s="121" t="str" cm="1">
        <f t="array" aca="1" ref="E171" ca="1">IF(OR(Formulas!F169=0,Formulas!F169=""),"",HYPERLINK("["&amp;Archivo_Nombre&amp;"]Datos!"&amp;LEFT(SUBSTITUTE(ADDRESS(1,Formulas!F169+2),"$",""))&amp;Formulas!E169+1,
IFERROR(INDEX(Datos!$A$2:$K$102,Formulas!E169,Formulas!F169+2),"")))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21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IFERROR(INDEX(Datos!$A$2:$K$102,Formulas!I168,RIGHT(Formulas!K168)+2),"")))</f>
        <v/>
      </c>
      <c r="J171" s="121" t="str" cm="1">
        <f t="array" aca="1" ref="J171" ca="1">IF(OR(Formulas!K169=0,Formulas!K169=""),"",HYPERLINK("["&amp;Archivo_Nombre&amp;"]Datos!"&amp;LEFT(SUBSTITUTE(ADDRESS(1,Formulas!K169+2),"$",""))&amp;Formulas!J169+1,
IFERROR(INDEX(Datos!$A$2:$K$102,Formulas!J169,Formulas!K169+2),"")))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21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IFERROR(INDEX(Datos!$A$2:$K$102,Formulas!N168,RIGHT(Formulas!P168)+2),"")))</f>
        <v/>
      </c>
      <c r="O171" s="121" t="str" cm="1">
        <f t="array" aca="1" ref="O171" ca="1">IF(OR(Formulas!P169=0,Formulas!P169=""),"",HYPERLINK("["&amp;Archivo_Nombre&amp;"]Datos!"&amp;LEFT(SUBSTITUTE(ADDRESS(1,Formulas!P169+2),"$",""))&amp;Formulas!O169+1,
IFERROR(INDEX(Datos!$A$2:$K$102,Formulas!O169,Formulas!P169+2),"")))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21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IFERROR(INDEX(Datos!$A$2:$K$102,Formulas!S168,RIGHT(Formulas!U168)+2),"")))</f>
        <v>45863</v>
      </c>
      <c r="T171" s="121" t="e" cm="1">
        <f t="array" aca="1" ref="T171" ca="1">IF(OR(Formulas!U169=0,Formulas!U169=""),"",HYPERLINK("["&amp;Archivo_Nombre&amp;"]Datos!"&amp;LEFT(SUBSTITUTE(ADDRESS(1,Formulas!U169+2),"$",""))&amp;Formulas!T169+1,
IFERROR(INDEX(Datos!$A$2:$K$102,Formulas!T169,Formulas!U169+2),"")))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21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IFERROR(INDEX(Datos!$A$2:$K$102,Formulas!X168,RIGHT(Formulas!Z168)+2),"")))</f>
        <v/>
      </c>
      <c r="Y171" s="121" t="str" cm="1">
        <f t="array" aca="1" ref="Y171" ca="1">IF(OR(Formulas!Z169=0,Formulas!Z169=""),"",HYPERLINK("["&amp;Archivo_Nombre&amp;"]Datos!"&amp;LEFT(SUBSTITUTE(ADDRESS(1,Formulas!Z169+2),"$",""))&amp;Formulas!Y169+1,
IFERROR(INDEX(Datos!$A$2:$K$102,Formulas!Y169,Formulas!Z169+2),"")))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21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IFERROR(INDEX(Datos!$A$2:$K$102,Formulas!AC168,RIGHT(Formulas!AE168)+2),"")))</f>
        <v/>
      </c>
      <c r="AD171" s="121" t="str" cm="1">
        <f t="array" aca="1" ref="AD171" ca="1">IF(OR(Formulas!AE169=0,Formulas!AE169=""),"",HYPERLINK("["&amp;Archivo_Nombre&amp;"]Datos!"&amp;LEFT(SUBSTITUTE(ADDRESS(1,Formulas!AE169+2),"$",""))&amp;Formulas!AD169+1,
IFERROR(INDEX(Datos!$A$2:$K$102,Formulas!AD169,Formulas!AE169+2),"")))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21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IFERROR(INDEX(Datos!$A$2:$K$102,Formulas!AH168,RIGHT(Formulas!AJ168)+2),"")))</f>
        <v/>
      </c>
      <c r="AI171" s="121" t="str" cm="1">
        <f t="array" aca="1" ref="AI171" ca="1">IF(OR(Formulas!AJ169=0,Formulas!AJ169=""),"",HYPERLINK("["&amp;Archivo_Nombre&amp;"]Datos!"&amp;LEFT(SUBSTITUTE(ADDRESS(1,Formulas!AJ169+2),"$",""))&amp;Formulas!AI169+1,
IFERROR(INDEX(Datos!$A$2:$K$102,Formulas!AI169,Formulas!AJ169+2),"")))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21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IFERROR(INDEX(Datos!$A$2:$K$102,Formulas!AM168,RIGHT(Formulas!AO168)+2),"")))</f>
        <v/>
      </c>
      <c r="AN171" s="121" t="str" cm="1">
        <f t="array" aca="1" ref="AN171" ca="1">IF(OR(Formulas!AO169=0,Formulas!AO169=""),"",HYPERLINK("["&amp;Archivo_Nombre&amp;"]Datos!"&amp;LEFT(SUBSTITUTE(ADDRESS(1,Formulas!AO169+2),"$",""))&amp;Formulas!AN169+1,
IFERROR(INDEX(Datos!$A$2:$K$102,Formulas!AN169,Formulas!AO169+2),"")))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21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IFERROR(INDEX(Datos!$A$2:$K$102,Formulas!AR168,RIGHT(Formulas!AT168)+2),"")))</f>
        <v/>
      </c>
      <c r="AS171" s="121" t="str" cm="1">
        <f t="array" aca="1" ref="AS171" ca="1">IF(OR(Formulas!AT169=0,Formulas!AT169=""),"",HYPERLINK("["&amp;Archivo_Nombre&amp;"]Datos!"&amp;LEFT(SUBSTITUTE(ADDRESS(1,Formulas!AT169+2),"$",""))&amp;Formulas!AS169+1,
IFERROR(INDEX(Datos!$A$2:$K$102,Formulas!AS169,Formulas!AT169+2),"")))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21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IFERROR(INDEX(Datos!$A$2:$K$102,Formulas!AW168,RIGHT(Formulas!AY168)+2),"")))</f>
        <v/>
      </c>
      <c r="AX171" s="121" t="str" cm="1">
        <f t="array" aca="1" ref="AX171" ca="1">IF(OR(Formulas!AY169=0,Formulas!AY169=""),"",HYPERLINK("["&amp;Archivo_Nombre&amp;"]Datos!"&amp;LEFT(SUBSTITUTE(ADDRESS(1,Formulas!AY169+2),"$",""))&amp;Formulas!AX169+1,
IFERROR(INDEX(Datos!$A$2:$K$102,Formulas!AX169,Formulas!AY169+2),"")))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21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IFERROR(INDEX(Datos!$A$2:$K$102,Formulas!D169,RIGHT(Formulas!F169)+2),"")))</f>
        <v/>
      </c>
      <c r="E172" s="121" t="str" cm="1">
        <f t="array" aca="1" ref="E172" ca="1">IF(OR(Formulas!F170=0,Formulas!F170=""),"",HYPERLINK("["&amp;Archivo_Nombre&amp;"]Datos!"&amp;LEFT(SUBSTITUTE(ADDRESS(1,Formulas!F170+2),"$",""))&amp;Formulas!E170+1,
IFERROR(INDEX(Datos!$A$2:$K$102,Formulas!E170,Formulas!F170+2),"")))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21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IFERROR(INDEX(Datos!$A$2:$K$102,Formulas!I169,RIGHT(Formulas!K169)+2),"")))</f>
        <v/>
      </c>
      <c r="J172" s="121" t="str" cm="1">
        <f t="array" aca="1" ref="J172" ca="1">IF(OR(Formulas!K170=0,Formulas!K170=""),"",HYPERLINK("["&amp;Archivo_Nombre&amp;"]Datos!"&amp;LEFT(SUBSTITUTE(ADDRESS(1,Formulas!K170+2),"$",""))&amp;Formulas!J170+1,
IFERROR(INDEX(Datos!$A$2:$K$102,Formulas!J170,Formulas!K170+2),"")))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21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IFERROR(INDEX(Datos!$A$2:$K$102,Formulas!N169,RIGHT(Formulas!P169)+2),"")))</f>
        <v/>
      </c>
      <c r="O172" s="121" t="str" cm="1">
        <f t="array" aca="1" ref="O172" ca="1">IF(OR(Formulas!P170=0,Formulas!P170=""),"",HYPERLINK("["&amp;Archivo_Nombre&amp;"]Datos!"&amp;LEFT(SUBSTITUTE(ADDRESS(1,Formulas!P170+2),"$",""))&amp;Formulas!O170+1,
IFERROR(INDEX(Datos!$A$2:$K$102,Formulas!O170,Formulas!P170+2),"")))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21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IFERROR(INDEX(Datos!$A$2:$K$102,Formulas!S169,RIGHT(Formulas!U169)+2),"")))</f>
        <v>45863</v>
      </c>
      <c r="T172" s="121" t="e" cm="1">
        <f t="array" aca="1" ref="T172" ca="1">IF(OR(Formulas!U170=0,Formulas!U170=""),"",HYPERLINK("["&amp;Archivo_Nombre&amp;"]Datos!"&amp;LEFT(SUBSTITUTE(ADDRESS(1,Formulas!U170+2),"$",""))&amp;Formulas!T170+1,
IFERROR(INDEX(Datos!$A$2:$K$102,Formulas!T170,Formulas!U170+2),"")))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21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IFERROR(INDEX(Datos!$A$2:$K$102,Formulas!X169,RIGHT(Formulas!Z169)+2),"")))</f>
        <v/>
      </c>
      <c r="Y172" s="121" t="str" cm="1">
        <f t="array" aca="1" ref="Y172" ca="1">IF(OR(Formulas!Z170=0,Formulas!Z170=""),"",HYPERLINK("["&amp;Archivo_Nombre&amp;"]Datos!"&amp;LEFT(SUBSTITUTE(ADDRESS(1,Formulas!Z170+2),"$",""))&amp;Formulas!Y170+1,
IFERROR(INDEX(Datos!$A$2:$K$102,Formulas!Y170,Formulas!Z170+2),"")))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21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IFERROR(INDEX(Datos!$A$2:$K$102,Formulas!AC169,RIGHT(Formulas!AE169)+2),"")))</f>
        <v/>
      </c>
      <c r="AD172" s="121" t="str" cm="1">
        <f t="array" aca="1" ref="AD172" ca="1">IF(OR(Formulas!AE170=0,Formulas!AE170=""),"",HYPERLINK("["&amp;Archivo_Nombre&amp;"]Datos!"&amp;LEFT(SUBSTITUTE(ADDRESS(1,Formulas!AE170+2),"$",""))&amp;Formulas!AD170+1,
IFERROR(INDEX(Datos!$A$2:$K$102,Formulas!AD170,Formulas!AE170+2),"")))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21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IFERROR(INDEX(Datos!$A$2:$K$102,Formulas!AH169,RIGHT(Formulas!AJ169)+2),"")))</f>
        <v/>
      </c>
      <c r="AI172" s="121" t="str" cm="1">
        <f t="array" aca="1" ref="AI172" ca="1">IF(OR(Formulas!AJ170=0,Formulas!AJ170=""),"",HYPERLINK("["&amp;Archivo_Nombre&amp;"]Datos!"&amp;LEFT(SUBSTITUTE(ADDRESS(1,Formulas!AJ170+2),"$",""))&amp;Formulas!AI170+1,
IFERROR(INDEX(Datos!$A$2:$K$102,Formulas!AI170,Formulas!AJ170+2),"")))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21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IFERROR(INDEX(Datos!$A$2:$K$102,Formulas!AM169,RIGHT(Formulas!AO169)+2),"")))</f>
        <v/>
      </c>
      <c r="AN172" s="121" t="str" cm="1">
        <f t="array" aca="1" ref="AN172" ca="1">IF(OR(Formulas!AO170=0,Formulas!AO170=""),"",HYPERLINK("["&amp;Archivo_Nombre&amp;"]Datos!"&amp;LEFT(SUBSTITUTE(ADDRESS(1,Formulas!AO170+2),"$",""))&amp;Formulas!AN170+1,
IFERROR(INDEX(Datos!$A$2:$K$102,Formulas!AN170,Formulas!AO170+2),"")))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21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IFERROR(INDEX(Datos!$A$2:$K$102,Formulas!AR169,RIGHT(Formulas!AT169)+2),"")))</f>
        <v/>
      </c>
      <c r="AS172" s="121" t="str" cm="1">
        <f t="array" aca="1" ref="AS172" ca="1">IF(OR(Formulas!AT170=0,Formulas!AT170=""),"",HYPERLINK("["&amp;Archivo_Nombre&amp;"]Datos!"&amp;LEFT(SUBSTITUTE(ADDRESS(1,Formulas!AT170+2),"$",""))&amp;Formulas!AS170+1,
IFERROR(INDEX(Datos!$A$2:$K$102,Formulas!AS170,Formulas!AT170+2),"")))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21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IFERROR(INDEX(Datos!$A$2:$K$102,Formulas!AW169,RIGHT(Formulas!AY169)+2),"")))</f>
        <v/>
      </c>
      <c r="AX172" s="121" t="str" cm="1">
        <f t="array" aca="1" ref="AX172" ca="1">IF(OR(Formulas!AY170=0,Formulas!AY170=""),"",HYPERLINK("["&amp;Archivo_Nombre&amp;"]Datos!"&amp;LEFT(SUBSTITUTE(ADDRESS(1,Formulas!AY170+2),"$",""))&amp;Formulas!AX170+1,
IFERROR(INDEX(Datos!$A$2:$K$102,Formulas!AX170,Formulas!AY170+2),"")))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21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IFERROR(INDEX(Datos!$A$2:$K$102,Formulas!D170,RIGHT(Formulas!F170)+2),"")))</f>
        <v/>
      </c>
      <c r="E173" s="121" t="str" cm="1">
        <f t="array" aca="1" ref="E173" ca="1">IF(OR(Formulas!F171=0,Formulas!F171=""),"",HYPERLINK("["&amp;Archivo_Nombre&amp;"]Datos!"&amp;LEFT(SUBSTITUTE(ADDRESS(1,Formulas!F171+2),"$",""))&amp;Formulas!E171+1,
IFERROR(INDEX(Datos!$A$2:$K$102,Formulas!E171,Formulas!F171+2),"")))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21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IFERROR(INDEX(Datos!$A$2:$K$102,Formulas!I170,RIGHT(Formulas!K170)+2),"")))</f>
        <v/>
      </c>
      <c r="J173" s="121" t="str" cm="1">
        <f t="array" aca="1" ref="J173" ca="1">IF(OR(Formulas!K171=0,Formulas!K171=""),"",HYPERLINK("["&amp;Archivo_Nombre&amp;"]Datos!"&amp;LEFT(SUBSTITUTE(ADDRESS(1,Formulas!K171+2),"$",""))&amp;Formulas!J171+1,
IFERROR(INDEX(Datos!$A$2:$K$102,Formulas!J171,Formulas!K171+2),"")))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21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IFERROR(INDEX(Datos!$A$2:$K$102,Formulas!N170,RIGHT(Formulas!P170)+2),"")))</f>
        <v/>
      </c>
      <c r="O173" s="121" t="str" cm="1">
        <f t="array" aca="1" ref="O173" ca="1">IF(OR(Formulas!P171=0,Formulas!P171=""),"",HYPERLINK("["&amp;Archivo_Nombre&amp;"]Datos!"&amp;LEFT(SUBSTITUTE(ADDRESS(1,Formulas!P171+2),"$",""))&amp;Formulas!O171+1,
IFERROR(INDEX(Datos!$A$2:$K$102,Formulas!O171,Formulas!P171+2),"")))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21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IFERROR(INDEX(Datos!$A$2:$K$102,Formulas!S170,RIGHT(Formulas!U170)+2),"")))</f>
        <v>13 días</v>
      </c>
      <c r="T173" s="121" t="e" cm="1">
        <f t="array" aca="1" ref="T173" ca="1">IF(OR(Formulas!U171=0,Formulas!U171=""),"",HYPERLINK("["&amp;Archivo_Nombre&amp;"]Datos!"&amp;LEFT(SUBSTITUTE(ADDRESS(1,Formulas!U171+2),"$",""))&amp;Formulas!T171+1,
IFERROR(INDEX(Datos!$A$2:$K$102,Formulas!T171,Formulas!U171+2),"")))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21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IFERROR(INDEX(Datos!$A$2:$K$102,Formulas!X170,RIGHT(Formulas!Z170)+2),"")))</f>
        <v/>
      </c>
      <c r="Y173" s="121" t="str" cm="1">
        <f t="array" aca="1" ref="Y173" ca="1">IF(OR(Formulas!Z171=0,Formulas!Z171=""),"",HYPERLINK("["&amp;Archivo_Nombre&amp;"]Datos!"&amp;LEFT(SUBSTITUTE(ADDRESS(1,Formulas!Z171+2),"$",""))&amp;Formulas!Y171+1,
IFERROR(INDEX(Datos!$A$2:$K$102,Formulas!Y171,Formulas!Z171+2),"")))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21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IFERROR(INDEX(Datos!$A$2:$K$102,Formulas!AC170,RIGHT(Formulas!AE170)+2),"")))</f>
        <v/>
      </c>
      <c r="AD173" s="121" t="str" cm="1">
        <f t="array" aca="1" ref="AD173" ca="1">IF(OR(Formulas!AE171=0,Formulas!AE171=""),"",HYPERLINK("["&amp;Archivo_Nombre&amp;"]Datos!"&amp;LEFT(SUBSTITUTE(ADDRESS(1,Formulas!AE171+2),"$",""))&amp;Formulas!AD171+1,
IFERROR(INDEX(Datos!$A$2:$K$102,Formulas!AD171,Formulas!AE171+2),"")))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21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IFERROR(INDEX(Datos!$A$2:$K$102,Formulas!AH170,RIGHT(Formulas!AJ170)+2),"")))</f>
        <v/>
      </c>
      <c r="AI173" s="121" t="str" cm="1">
        <f t="array" aca="1" ref="AI173" ca="1">IF(OR(Formulas!AJ171=0,Formulas!AJ171=""),"",HYPERLINK("["&amp;Archivo_Nombre&amp;"]Datos!"&amp;LEFT(SUBSTITUTE(ADDRESS(1,Formulas!AJ171+2),"$",""))&amp;Formulas!AI171+1,
IFERROR(INDEX(Datos!$A$2:$K$102,Formulas!AI171,Formulas!AJ171+2),"")))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21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IFERROR(INDEX(Datos!$A$2:$K$102,Formulas!AM170,RIGHT(Formulas!AO170)+2),"")))</f>
        <v/>
      </c>
      <c r="AN173" s="121" t="str" cm="1">
        <f t="array" aca="1" ref="AN173" ca="1">IF(OR(Formulas!AO171=0,Formulas!AO171=""),"",HYPERLINK("["&amp;Archivo_Nombre&amp;"]Datos!"&amp;LEFT(SUBSTITUTE(ADDRESS(1,Formulas!AO171+2),"$",""))&amp;Formulas!AN171+1,
IFERROR(INDEX(Datos!$A$2:$K$102,Formulas!AN171,Formulas!AO171+2),"")))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21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IFERROR(INDEX(Datos!$A$2:$K$102,Formulas!AR170,RIGHT(Formulas!AT170)+2),"")))</f>
        <v/>
      </c>
      <c r="AS173" s="121" t="str" cm="1">
        <f t="array" aca="1" ref="AS173" ca="1">IF(OR(Formulas!AT171=0,Formulas!AT171=""),"",HYPERLINK("["&amp;Archivo_Nombre&amp;"]Datos!"&amp;LEFT(SUBSTITUTE(ADDRESS(1,Formulas!AT171+2),"$",""))&amp;Formulas!AS171+1,
IFERROR(INDEX(Datos!$A$2:$K$102,Formulas!AS171,Formulas!AT171+2),"")))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21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IFERROR(INDEX(Datos!$A$2:$K$102,Formulas!AW170,RIGHT(Formulas!AY170)+2),"")))</f>
        <v/>
      </c>
      <c r="AX173" s="121" t="str" cm="1">
        <f t="array" aca="1" ref="AX173" ca="1">IF(OR(Formulas!AY171=0,Formulas!AY171=""),"",HYPERLINK("["&amp;Archivo_Nombre&amp;"]Datos!"&amp;LEFT(SUBSTITUTE(ADDRESS(1,Formulas!AY171+2),"$",""))&amp;Formulas!AX171+1,
IFERROR(INDEX(Datos!$A$2:$K$102,Formulas!AX171,Formulas!AY171+2),"")))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21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IFERROR(INDEX(Datos!$A$2:$K$102,Formulas!D171,RIGHT(Formulas!F171)+2),"")))</f>
        <v/>
      </c>
      <c r="E174" s="121" t="str" cm="1">
        <f t="array" aca="1" ref="E174" ca="1">IF(OR(Formulas!F172=0,Formulas!F172=""),"",HYPERLINK("["&amp;Archivo_Nombre&amp;"]Datos!"&amp;LEFT(SUBSTITUTE(ADDRESS(1,Formulas!F172+2),"$",""))&amp;Formulas!E172+1,
IFERROR(INDEX(Datos!$A$2:$K$102,Formulas!E172,Formulas!F172+2),"")))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21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IFERROR(INDEX(Datos!$A$2:$K$102,Formulas!I171,RIGHT(Formulas!K171)+2),"")))</f>
        <v/>
      </c>
      <c r="J174" s="121" t="str" cm="1">
        <f t="array" aca="1" ref="J174" ca="1">IF(OR(Formulas!K172=0,Formulas!K172=""),"",HYPERLINK("["&amp;Archivo_Nombre&amp;"]Datos!"&amp;LEFT(SUBSTITUTE(ADDRESS(1,Formulas!K172+2),"$",""))&amp;Formulas!J172+1,
IFERROR(INDEX(Datos!$A$2:$K$102,Formulas!J172,Formulas!K172+2),"")))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21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IFERROR(INDEX(Datos!$A$2:$K$102,Formulas!N171,RIGHT(Formulas!P171)+2),"")))</f>
        <v/>
      </c>
      <c r="O174" s="121" t="str" cm="1">
        <f t="array" aca="1" ref="O174" ca="1">IF(OR(Formulas!P172=0,Formulas!P172=""),"",HYPERLINK("["&amp;Archivo_Nombre&amp;"]Datos!"&amp;LEFT(SUBSTITUTE(ADDRESS(1,Formulas!P172+2),"$",""))&amp;Formulas!O172+1,
IFERROR(INDEX(Datos!$A$2:$K$102,Formulas!O172,Formulas!P172+2),"")))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21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IFERROR(INDEX(Datos!$A$2:$K$102,Formulas!S171,RIGHT(Formulas!U171)+2),"")))</f>
        <v>0 días</v>
      </c>
      <c r="T174" s="121" t="e" cm="1">
        <f t="array" aca="1" ref="T174" ca="1">IF(OR(Formulas!U172=0,Formulas!U172=""),"",HYPERLINK("["&amp;Archivo_Nombre&amp;"]Datos!"&amp;LEFT(SUBSTITUTE(ADDRESS(1,Formulas!U172+2),"$",""))&amp;Formulas!T172+1,
IFERROR(INDEX(Datos!$A$2:$K$102,Formulas!T172,Formulas!U172+2),"")))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21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IFERROR(INDEX(Datos!$A$2:$K$102,Formulas!X171,RIGHT(Formulas!Z171)+2),"")))</f>
        <v/>
      </c>
      <c r="Y174" s="121" t="str" cm="1">
        <f t="array" aca="1" ref="Y174" ca="1">IF(OR(Formulas!Z172=0,Formulas!Z172=""),"",HYPERLINK("["&amp;Archivo_Nombre&amp;"]Datos!"&amp;LEFT(SUBSTITUTE(ADDRESS(1,Formulas!Z172+2),"$",""))&amp;Formulas!Y172+1,
IFERROR(INDEX(Datos!$A$2:$K$102,Formulas!Y172,Formulas!Z172+2),"")))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21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IFERROR(INDEX(Datos!$A$2:$K$102,Formulas!AC171,RIGHT(Formulas!AE171)+2),"")))</f>
        <v/>
      </c>
      <c r="AD174" s="121" t="str" cm="1">
        <f t="array" aca="1" ref="AD174" ca="1">IF(OR(Formulas!AE172=0,Formulas!AE172=""),"",HYPERLINK("["&amp;Archivo_Nombre&amp;"]Datos!"&amp;LEFT(SUBSTITUTE(ADDRESS(1,Formulas!AE172+2),"$",""))&amp;Formulas!AD172+1,
IFERROR(INDEX(Datos!$A$2:$K$102,Formulas!AD172,Formulas!AE172+2),"")))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21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IFERROR(INDEX(Datos!$A$2:$K$102,Formulas!AH171,RIGHT(Formulas!AJ171)+2),"")))</f>
        <v/>
      </c>
      <c r="AI174" s="121" t="str" cm="1">
        <f t="array" aca="1" ref="AI174" ca="1">IF(OR(Formulas!AJ172=0,Formulas!AJ172=""),"",HYPERLINK("["&amp;Archivo_Nombre&amp;"]Datos!"&amp;LEFT(SUBSTITUTE(ADDRESS(1,Formulas!AJ172+2),"$",""))&amp;Formulas!AI172+1,
IFERROR(INDEX(Datos!$A$2:$K$102,Formulas!AI172,Formulas!AJ172+2),"")))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21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IFERROR(INDEX(Datos!$A$2:$K$102,Formulas!AM171,RIGHT(Formulas!AO171)+2),"")))</f>
        <v/>
      </c>
      <c r="AN174" s="121" t="str" cm="1">
        <f t="array" aca="1" ref="AN174" ca="1">IF(OR(Formulas!AO172=0,Formulas!AO172=""),"",HYPERLINK("["&amp;Archivo_Nombre&amp;"]Datos!"&amp;LEFT(SUBSTITUTE(ADDRESS(1,Formulas!AO172+2),"$",""))&amp;Formulas!AN172+1,
IFERROR(INDEX(Datos!$A$2:$K$102,Formulas!AN172,Formulas!AO172+2),"")))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21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IFERROR(INDEX(Datos!$A$2:$K$102,Formulas!AR171,RIGHT(Formulas!AT171)+2),"")))</f>
        <v/>
      </c>
      <c r="AS174" s="121" t="str" cm="1">
        <f t="array" aca="1" ref="AS174" ca="1">IF(OR(Formulas!AT172=0,Formulas!AT172=""),"",HYPERLINK("["&amp;Archivo_Nombre&amp;"]Datos!"&amp;LEFT(SUBSTITUTE(ADDRESS(1,Formulas!AT172+2),"$",""))&amp;Formulas!AS172+1,
IFERROR(INDEX(Datos!$A$2:$K$102,Formulas!AS172,Formulas!AT172+2),"")))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21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IFERROR(INDEX(Datos!$A$2:$K$102,Formulas!AW171,RIGHT(Formulas!AY171)+2),"")))</f>
        <v/>
      </c>
      <c r="AX174" s="121" t="str" cm="1">
        <f t="array" aca="1" ref="AX174" ca="1">IF(OR(Formulas!AY172=0,Formulas!AY172=""),"",HYPERLINK("["&amp;Archivo_Nombre&amp;"]Datos!"&amp;LEFT(SUBSTITUTE(ADDRESS(1,Formulas!AY172+2),"$",""))&amp;Formulas!AX172+1,
IFERROR(INDEX(Datos!$A$2:$K$102,Formulas!AX172,Formulas!AY172+2),"")))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21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IFERROR(INDEX(Datos!$A$2:$K$102,Formulas!D172,RIGHT(Formulas!F172)+2),"")))</f>
        <v/>
      </c>
      <c r="E175" s="121" t="str" cm="1">
        <f t="array" aca="1" ref="E175" ca="1">IF(OR(Formulas!F173=0,Formulas!F173=""),"",HYPERLINK("["&amp;Archivo_Nombre&amp;"]Datos!"&amp;LEFT(SUBSTITUTE(ADDRESS(1,Formulas!F173+2),"$",""))&amp;Formulas!E173+1,
IFERROR(INDEX(Datos!$A$2:$K$102,Formulas!E173,Formulas!F173+2),"")))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21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IFERROR(INDEX(Datos!$A$2:$K$102,Formulas!I172,RIGHT(Formulas!K172)+2),"")))</f>
        <v/>
      </c>
      <c r="J175" s="121" t="str" cm="1">
        <f t="array" aca="1" ref="J175" ca="1">IF(OR(Formulas!K173=0,Formulas!K173=""),"",HYPERLINK("["&amp;Archivo_Nombre&amp;"]Datos!"&amp;LEFT(SUBSTITUTE(ADDRESS(1,Formulas!K173+2),"$",""))&amp;Formulas!J173+1,
IFERROR(INDEX(Datos!$A$2:$K$102,Formulas!J173,Formulas!K173+2),"")))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21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IFERROR(INDEX(Datos!$A$2:$K$102,Formulas!N172,RIGHT(Formulas!P172)+2),"")))</f>
        <v/>
      </c>
      <c r="O175" s="121" t="str" cm="1">
        <f t="array" aca="1" ref="O175" ca="1">IF(OR(Formulas!P173=0,Formulas!P173=""),"",HYPERLINK("["&amp;Archivo_Nombre&amp;"]Datos!"&amp;LEFT(SUBSTITUTE(ADDRESS(1,Formulas!P173+2),"$",""))&amp;Formulas!O173+1,
IFERROR(INDEX(Datos!$A$2:$K$102,Formulas!O173,Formulas!P173+2),"")))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21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IFERROR(INDEX(Datos!$A$2:$K$102,Formulas!S172,RIGHT(Formulas!U172)+2),"")))</f>
        <v>Paulina Quishpe</v>
      </c>
      <c r="T175" s="121" t="str" cm="1">
        <f t="array" aca="1" ref="T175" ca="1">IF(OR(Formulas!U173=0,Formulas!U173=""),"",HYPERLINK("["&amp;Archivo_Nombre&amp;"]Datos!"&amp;LEFT(SUBSTITUTE(ADDRESS(1,Formulas!U173+2),"$",""))&amp;Formulas!T173+1,
IFERROR(INDEX(Datos!$A$2:$K$102,Formulas!T173,Formulas!U173+2),"")))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21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IFERROR(INDEX(Datos!$A$2:$K$102,Formulas!X172,RIGHT(Formulas!Z172)+2),"")))</f>
        <v/>
      </c>
      <c r="Y175" s="121" t="str" cm="1">
        <f t="array" aca="1" ref="Y175" ca="1">IF(OR(Formulas!Z173=0,Formulas!Z173=""),"",HYPERLINK("["&amp;Archivo_Nombre&amp;"]Datos!"&amp;LEFT(SUBSTITUTE(ADDRESS(1,Formulas!Z173+2),"$",""))&amp;Formulas!Y173+1,
IFERROR(INDEX(Datos!$A$2:$K$102,Formulas!Y173,Formulas!Z173+2),"")))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21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IFERROR(INDEX(Datos!$A$2:$K$102,Formulas!AC172,RIGHT(Formulas!AE172)+2),"")))</f>
        <v/>
      </c>
      <c r="AD175" s="121" t="str" cm="1">
        <f t="array" aca="1" ref="AD175" ca="1">IF(OR(Formulas!AE173=0,Formulas!AE173=""),"",HYPERLINK("["&amp;Archivo_Nombre&amp;"]Datos!"&amp;LEFT(SUBSTITUTE(ADDRESS(1,Formulas!AE173+2),"$",""))&amp;Formulas!AD173+1,
IFERROR(INDEX(Datos!$A$2:$K$102,Formulas!AD173,Formulas!AE173+2),"")))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21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IFERROR(INDEX(Datos!$A$2:$K$102,Formulas!AH172,RIGHT(Formulas!AJ172)+2),"")))</f>
        <v/>
      </c>
      <c r="AI175" s="121" t="str" cm="1">
        <f t="array" aca="1" ref="AI175" ca="1">IF(OR(Formulas!AJ173=0,Formulas!AJ173=""),"",HYPERLINK("["&amp;Archivo_Nombre&amp;"]Datos!"&amp;LEFT(SUBSTITUTE(ADDRESS(1,Formulas!AJ173+2),"$",""))&amp;Formulas!AI173+1,
IFERROR(INDEX(Datos!$A$2:$K$102,Formulas!AI173,Formulas!AJ173+2),"")))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21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IFERROR(INDEX(Datos!$A$2:$K$102,Formulas!AM172,RIGHT(Formulas!AO172)+2),"")))</f>
        <v/>
      </c>
      <c r="AN175" s="121" t="str" cm="1">
        <f t="array" aca="1" ref="AN175" ca="1">IF(OR(Formulas!AO173=0,Formulas!AO173=""),"",HYPERLINK("["&amp;Archivo_Nombre&amp;"]Datos!"&amp;LEFT(SUBSTITUTE(ADDRESS(1,Formulas!AO173+2),"$",""))&amp;Formulas!AN173+1,
IFERROR(INDEX(Datos!$A$2:$K$102,Formulas!AN173,Formulas!AO173+2),"")))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21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IFERROR(INDEX(Datos!$A$2:$K$102,Formulas!AR172,RIGHT(Formulas!AT172)+2),"")))</f>
        <v/>
      </c>
      <c r="AS175" s="121" t="str" cm="1">
        <f t="array" aca="1" ref="AS175" ca="1">IF(OR(Formulas!AT173=0,Formulas!AT173=""),"",HYPERLINK("["&amp;Archivo_Nombre&amp;"]Datos!"&amp;LEFT(SUBSTITUTE(ADDRESS(1,Formulas!AT173+2),"$",""))&amp;Formulas!AS173+1,
IFERROR(INDEX(Datos!$A$2:$K$102,Formulas!AS173,Formulas!AT173+2),"")))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21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IFERROR(INDEX(Datos!$A$2:$K$102,Formulas!AW172,RIGHT(Formulas!AY172)+2),"")))</f>
        <v/>
      </c>
      <c r="AX175" s="121" t="str" cm="1">
        <f t="array" aca="1" ref="AX175" ca="1">IF(OR(Formulas!AY173=0,Formulas!AY173=""),"",HYPERLINK("["&amp;Archivo_Nombre&amp;"]Datos!"&amp;LEFT(SUBSTITUTE(ADDRESS(1,Formulas!AY173+2),"$",""))&amp;Formulas!AX173+1,
IFERROR(INDEX(Datos!$A$2:$K$102,Formulas!AX173,Formulas!AY173+2),"")))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21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IFERROR(INDEX(Datos!$A$2:$K$102,Formulas!D173,RIGHT(Formulas!F173)+2),"")))</f>
        <v/>
      </c>
      <c r="E176" s="121" t="str" cm="1">
        <f t="array" aca="1" ref="E176" ca="1">IF(OR(Formulas!F174=0,Formulas!F174=""),"",HYPERLINK("["&amp;Archivo_Nombre&amp;"]Datos!"&amp;LEFT(SUBSTITUTE(ADDRESS(1,Formulas!F174+2),"$",""))&amp;Formulas!E174+1,
IFERROR(INDEX(Datos!$A$2:$K$102,Formulas!E174,Formulas!F174+2),"")))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21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IFERROR(INDEX(Datos!$A$2:$K$102,Formulas!I173,RIGHT(Formulas!K173)+2),"")))</f>
        <v/>
      </c>
      <c r="J176" s="121" t="str" cm="1">
        <f t="array" aca="1" ref="J176" ca="1">IF(OR(Formulas!K174=0,Formulas!K174=""),"",HYPERLINK("["&amp;Archivo_Nombre&amp;"]Datos!"&amp;LEFT(SUBSTITUTE(ADDRESS(1,Formulas!K174+2),"$",""))&amp;Formulas!J174+1,
IFERROR(INDEX(Datos!$A$2:$K$102,Formulas!J174,Formulas!K174+2),"")))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21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IFERROR(INDEX(Datos!$A$2:$K$102,Formulas!N173,RIGHT(Formulas!P173)+2),"")))</f>
        <v/>
      </c>
      <c r="O176" s="121" t="str" cm="1">
        <f t="array" aca="1" ref="O176" ca="1">IF(OR(Formulas!P174=0,Formulas!P174=""),"",HYPERLINK("["&amp;Archivo_Nombre&amp;"]Datos!"&amp;LEFT(SUBSTITUTE(ADDRESS(1,Formulas!P174+2),"$",""))&amp;Formulas!O174+1,
IFERROR(INDEX(Datos!$A$2:$K$102,Formulas!O174,Formulas!P174+2),"")))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21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IFERROR(INDEX(Datos!$A$2:$K$102,Formulas!S173,RIGHT(Formulas!U173)+2),"")))</f>
        <v/>
      </c>
      <c r="T176" s="121" t="e" cm="1">
        <f t="array" aca="1" ref="T176" ca="1">IF(OR(Formulas!U174=0,Formulas!U174=""),"",HYPERLINK("["&amp;Archivo_Nombre&amp;"]Datos!"&amp;LEFT(SUBSTITUTE(ADDRESS(1,Formulas!U174+2),"$",""))&amp;Formulas!T174+1,
IFERROR(INDEX(Datos!$A$2:$K$102,Formulas!T174,Formulas!U174+2),"")))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21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IFERROR(INDEX(Datos!$A$2:$K$102,Formulas!X173,RIGHT(Formulas!Z173)+2),"")))</f>
        <v/>
      </c>
      <c r="Y176" s="121" t="str" cm="1">
        <f t="array" aca="1" ref="Y176" ca="1">IF(OR(Formulas!Z174=0,Formulas!Z174=""),"",HYPERLINK("["&amp;Archivo_Nombre&amp;"]Datos!"&amp;LEFT(SUBSTITUTE(ADDRESS(1,Formulas!Z174+2),"$",""))&amp;Formulas!Y174+1,
IFERROR(INDEX(Datos!$A$2:$K$102,Formulas!Y174,Formulas!Z174+2),"")))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21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IFERROR(INDEX(Datos!$A$2:$K$102,Formulas!AC173,RIGHT(Formulas!AE173)+2),"")))</f>
        <v/>
      </c>
      <c r="AD176" s="121" t="str" cm="1">
        <f t="array" aca="1" ref="AD176" ca="1">IF(OR(Formulas!AE174=0,Formulas!AE174=""),"",HYPERLINK("["&amp;Archivo_Nombre&amp;"]Datos!"&amp;LEFT(SUBSTITUTE(ADDRESS(1,Formulas!AE174+2),"$",""))&amp;Formulas!AD174+1,
IFERROR(INDEX(Datos!$A$2:$K$102,Formulas!AD174,Formulas!AE174+2),"")))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21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IFERROR(INDEX(Datos!$A$2:$K$102,Formulas!AH173,RIGHT(Formulas!AJ173)+2),"")))</f>
        <v/>
      </c>
      <c r="AI176" s="121" t="str" cm="1">
        <f t="array" aca="1" ref="AI176" ca="1">IF(OR(Formulas!AJ174=0,Formulas!AJ174=""),"",HYPERLINK("["&amp;Archivo_Nombre&amp;"]Datos!"&amp;LEFT(SUBSTITUTE(ADDRESS(1,Formulas!AJ174+2),"$",""))&amp;Formulas!AI174+1,
IFERROR(INDEX(Datos!$A$2:$K$102,Formulas!AI174,Formulas!AJ174+2),"")))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21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IFERROR(INDEX(Datos!$A$2:$K$102,Formulas!AM173,RIGHT(Formulas!AO173)+2),"")))</f>
        <v/>
      </c>
      <c r="AN176" s="121" t="str" cm="1">
        <f t="array" aca="1" ref="AN176" ca="1">IF(OR(Formulas!AO174=0,Formulas!AO174=""),"",HYPERLINK("["&amp;Archivo_Nombre&amp;"]Datos!"&amp;LEFT(SUBSTITUTE(ADDRESS(1,Formulas!AO174+2),"$",""))&amp;Formulas!AN174+1,
IFERROR(INDEX(Datos!$A$2:$K$102,Formulas!AN174,Formulas!AO174+2),"")))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21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IFERROR(INDEX(Datos!$A$2:$K$102,Formulas!AR173,RIGHT(Formulas!AT173)+2),"")))</f>
        <v/>
      </c>
      <c r="AS176" s="121" t="str" cm="1">
        <f t="array" aca="1" ref="AS176" ca="1">IF(OR(Formulas!AT174=0,Formulas!AT174=""),"",HYPERLINK("["&amp;Archivo_Nombre&amp;"]Datos!"&amp;LEFT(SUBSTITUTE(ADDRESS(1,Formulas!AT174+2),"$",""))&amp;Formulas!AS174+1,
IFERROR(INDEX(Datos!$A$2:$K$102,Formulas!AS174,Formulas!AT174+2),"")))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21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IFERROR(INDEX(Datos!$A$2:$K$102,Formulas!AW173,RIGHT(Formulas!AY173)+2),"")))</f>
        <v/>
      </c>
      <c r="AX176" s="121" t="str" cm="1">
        <f t="array" aca="1" ref="AX176" ca="1">IF(OR(Formulas!AY174=0,Formulas!AY174=""),"",HYPERLINK("["&amp;Archivo_Nombre&amp;"]Datos!"&amp;LEFT(SUBSTITUTE(ADDRESS(1,Formulas!AY174+2),"$",""))&amp;Formulas!AX174+1,
IFERROR(INDEX(Datos!$A$2:$K$102,Formulas!AX174,Formulas!AY174+2),"")))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21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IFERROR(INDEX(Datos!$A$2:$K$102,Formulas!D174,RIGHT(Formulas!F174)+2),"")))</f>
        <v/>
      </c>
      <c r="E177" s="121" t="str" cm="1">
        <f t="array" aca="1" ref="E177" ca="1">IF(OR(Formulas!F175=0,Formulas!F175=""),"",HYPERLINK("["&amp;Archivo_Nombre&amp;"]Datos!"&amp;LEFT(SUBSTITUTE(ADDRESS(1,Formulas!F175+2),"$",""))&amp;Formulas!E175+1,
IFERROR(INDEX(Datos!$A$2:$K$102,Formulas!E175,Formulas!F175+2),"")))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21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IFERROR(INDEX(Datos!$A$2:$K$102,Formulas!I174,RIGHT(Formulas!K174)+2),"")))</f>
        <v/>
      </c>
      <c r="J177" s="121" t="str" cm="1">
        <f t="array" aca="1" ref="J177" ca="1">IF(OR(Formulas!K175=0,Formulas!K175=""),"",HYPERLINK("["&amp;Archivo_Nombre&amp;"]Datos!"&amp;LEFT(SUBSTITUTE(ADDRESS(1,Formulas!K175+2),"$",""))&amp;Formulas!J175+1,
IFERROR(INDEX(Datos!$A$2:$K$102,Formulas!J175,Formulas!K175+2),"")))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21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IFERROR(INDEX(Datos!$A$2:$K$102,Formulas!N174,RIGHT(Formulas!P174)+2),"")))</f>
        <v/>
      </c>
      <c r="O177" s="121" t="str" cm="1">
        <f t="array" aca="1" ref="O177" ca="1">IF(OR(Formulas!P175=0,Formulas!P175=""),"",HYPERLINK("["&amp;Archivo_Nombre&amp;"]Datos!"&amp;LEFT(SUBSTITUTE(ADDRESS(1,Formulas!P175+2),"$",""))&amp;Formulas!O175+1,
IFERROR(INDEX(Datos!$A$2:$K$102,Formulas!O175,Formulas!P175+2),"")))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39:</v>
      </c>
      <c r="S177" s="121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IFERROR(INDEX(Datos!$A$2:$K$102,Formulas!S174,RIGHT(Formulas!U174)+2),"")))</f>
        <v>REQ004-3 Desarrollar la lógica de backend para filtrar y mostrar los contratos de fideicomisos que coincidan con los datos ingresados.</v>
      </c>
      <c r="T177" s="121" t="e" cm="1">
        <f t="array" aca="1" ref="T177" ca="1">IF(OR(Formulas!U175=0,Formulas!U175=""),"",HYPERLINK("["&amp;Archivo_Nombre&amp;"]Datos!"&amp;LEFT(SUBSTITUTE(ADDRESS(1,Formulas!U175+2),"$",""))&amp;Formulas!T175+1,
IFERROR(INDEX(Datos!$A$2:$K$102,Formulas!T175,Formulas!U175+2),"")))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21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IFERROR(INDEX(Datos!$A$2:$K$102,Formulas!X174,RIGHT(Formulas!Z174)+2),"")))</f>
        <v/>
      </c>
      <c r="Y177" s="121" t="str" cm="1">
        <f t="array" aca="1" ref="Y177" ca="1">IF(OR(Formulas!Z175=0,Formulas!Z175=""),"",HYPERLINK("["&amp;Archivo_Nombre&amp;"]Datos!"&amp;LEFT(SUBSTITUTE(ADDRESS(1,Formulas!Z175+2),"$",""))&amp;Formulas!Y175+1,
IFERROR(INDEX(Datos!$A$2:$K$102,Formulas!Y175,Formulas!Z175+2),"")))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21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IFERROR(INDEX(Datos!$A$2:$K$102,Formulas!AC174,RIGHT(Formulas!AE174)+2),"")))</f>
        <v/>
      </c>
      <c r="AD177" s="121" t="str" cm="1">
        <f t="array" aca="1" ref="AD177" ca="1">IF(OR(Formulas!AE175=0,Formulas!AE175=""),"",HYPERLINK("["&amp;Archivo_Nombre&amp;"]Datos!"&amp;LEFT(SUBSTITUTE(ADDRESS(1,Formulas!AE175+2),"$",""))&amp;Formulas!AD175+1,
IFERROR(INDEX(Datos!$A$2:$K$102,Formulas!AD175,Formulas!AE175+2),"")))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21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IFERROR(INDEX(Datos!$A$2:$K$102,Formulas!AH174,RIGHT(Formulas!AJ174)+2),"")))</f>
        <v/>
      </c>
      <c r="AI177" s="121" t="str" cm="1">
        <f t="array" aca="1" ref="AI177" ca="1">IF(OR(Formulas!AJ175=0,Formulas!AJ175=""),"",HYPERLINK("["&amp;Archivo_Nombre&amp;"]Datos!"&amp;LEFT(SUBSTITUTE(ADDRESS(1,Formulas!AJ175+2),"$",""))&amp;Formulas!AI175+1,
IFERROR(INDEX(Datos!$A$2:$K$102,Formulas!AI175,Formulas!AJ175+2),"")))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21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IFERROR(INDEX(Datos!$A$2:$K$102,Formulas!AM174,RIGHT(Formulas!AO174)+2),"")))</f>
        <v/>
      </c>
      <c r="AN177" s="121" t="str" cm="1">
        <f t="array" aca="1" ref="AN177" ca="1">IF(OR(Formulas!AO175=0,Formulas!AO175=""),"",HYPERLINK("["&amp;Archivo_Nombre&amp;"]Datos!"&amp;LEFT(SUBSTITUTE(ADDRESS(1,Formulas!AO175+2),"$",""))&amp;Formulas!AN175+1,
IFERROR(INDEX(Datos!$A$2:$K$102,Formulas!AN175,Formulas!AO175+2),"")))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21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IFERROR(INDEX(Datos!$A$2:$K$102,Formulas!AR174,RIGHT(Formulas!AT174)+2),"")))</f>
        <v/>
      </c>
      <c r="AS177" s="121" t="str" cm="1">
        <f t="array" aca="1" ref="AS177" ca="1">IF(OR(Formulas!AT175=0,Formulas!AT175=""),"",HYPERLINK("["&amp;Archivo_Nombre&amp;"]Datos!"&amp;LEFT(SUBSTITUTE(ADDRESS(1,Formulas!AT175+2),"$",""))&amp;Formulas!AS175+1,
IFERROR(INDEX(Datos!$A$2:$K$102,Formulas!AS175,Formulas!AT175+2),"")))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21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IFERROR(INDEX(Datos!$A$2:$K$102,Formulas!AW174,RIGHT(Formulas!AY174)+2),"")))</f>
        <v/>
      </c>
      <c r="AX177" s="121" t="str" cm="1">
        <f t="array" aca="1" ref="AX177" ca="1">IF(OR(Formulas!AY175=0,Formulas!AY175=""),"",HYPERLINK("["&amp;Archivo_Nombre&amp;"]Datos!"&amp;LEFT(SUBSTITUTE(ADDRESS(1,Formulas!AY175+2),"$",""))&amp;Formulas!AX175+1,
IFERROR(INDEX(Datos!$A$2:$K$102,Formulas!AX175,Formulas!AY175+2),"")))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21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IFERROR(INDEX(Datos!$A$2:$K$102,Formulas!D175,RIGHT(Formulas!F175)+2),"")))</f>
        <v/>
      </c>
      <c r="E178" s="121" t="str" cm="1">
        <f t="array" aca="1" ref="E178" ca="1">IF(OR(Formulas!F176=0,Formulas!F176=""),"",HYPERLINK("["&amp;Archivo_Nombre&amp;"]Datos!"&amp;LEFT(SUBSTITUTE(ADDRESS(1,Formulas!F176+2),"$",""))&amp;Formulas!E176+1,
IFERROR(INDEX(Datos!$A$2:$K$102,Formulas!E176,Formulas!F176+2),"")))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21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IFERROR(INDEX(Datos!$A$2:$K$102,Formulas!I175,RIGHT(Formulas!K175)+2),"")))</f>
        <v/>
      </c>
      <c r="J178" s="121" t="str" cm="1">
        <f t="array" aca="1" ref="J178" ca="1">IF(OR(Formulas!K176=0,Formulas!K176=""),"",HYPERLINK("["&amp;Archivo_Nombre&amp;"]Datos!"&amp;LEFT(SUBSTITUTE(ADDRESS(1,Formulas!K176+2),"$",""))&amp;Formulas!J176+1,
IFERROR(INDEX(Datos!$A$2:$K$102,Formulas!J176,Formulas!K176+2),"")))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21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IFERROR(INDEX(Datos!$A$2:$K$102,Formulas!N175,RIGHT(Formulas!P175)+2),"")))</f>
        <v/>
      </c>
      <c r="O178" s="121" t="str" cm="1">
        <f t="array" aca="1" ref="O178" ca="1">IF(OR(Formulas!P176=0,Formulas!P176=""),"",HYPERLINK("["&amp;Archivo_Nombre&amp;"]Datos!"&amp;LEFT(SUBSTITUTE(ADDRESS(1,Formulas!P176+2),"$",""))&amp;Formulas!O176+1,
IFERROR(INDEX(Datos!$A$2:$K$102,Formulas!O176,Formulas!P176+2),"")))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21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IFERROR(INDEX(Datos!$A$2:$K$102,Formulas!S175,RIGHT(Formulas!U175)+2),"")))</f>
        <v>Desarrollar la lógica de backend para filtrar y mostrar los contratos de fideicomisos que coincidan con los datos ingresados.</v>
      </c>
      <c r="T178" s="121" t="e" cm="1">
        <f t="array" aca="1" ref="T178" ca="1">IF(OR(Formulas!U176=0,Formulas!U176=""),"",HYPERLINK("["&amp;Archivo_Nombre&amp;"]Datos!"&amp;LEFT(SUBSTITUTE(ADDRESS(1,Formulas!U176+2),"$",""))&amp;Formulas!T176+1,
IFERROR(INDEX(Datos!$A$2:$K$102,Formulas!T176,Formulas!U176+2),"")))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21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IFERROR(INDEX(Datos!$A$2:$K$102,Formulas!X175,RIGHT(Formulas!Z175)+2),"")))</f>
        <v/>
      </c>
      <c r="Y178" s="121" t="str" cm="1">
        <f t="array" aca="1" ref="Y178" ca="1">IF(OR(Formulas!Z176=0,Formulas!Z176=""),"",HYPERLINK("["&amp;Archivo_Nombre&amp;"]Datos!"&amp;LEFT(SUBSTITUTE(ADDRESS(1,Formulas!Z176+2),"$",""))&amp;Formulas!Y176+1,
IFERROR(INDEX(Datos!$A$2:$K$102,Formulas!Y176,Formulas!Z176+2),"")))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21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IFERROR(INDEX(Datos!$A$2:$K$102,Formulas!AC175,RIGHT(Formulas!AE175)+2),"")))</f>
        <v/>
      </c>
      <c r="AD178" s="121" t="str" cm="1">
        <f t="array" aca="1" ref="AD178" ca="1">IF(OR(Formulas!AE176=0,Formulas!AE176=""),"",HYPERLINK("["&amp;Archivo_Nombre&amp;"]Datos!"&amp;LEFT(SUBSTITUTE(ADDRESS(1,Formulas!AE176+2),"$",""))&amp;Formulas!AD176+1,
IFERROR(INDEX(Datos!$A$2:$K$102,Formulas!AD176,Formulas!AE176+2),"")))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21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IFERROR(INDEX(Datos!$A$2:$K$102,Formulas!AH175,RIGHT(Formulas!AJ175)+2),"")))</f>
        <v/>
      </c>
      <c r="AI178" s="121" t="str" cm="1">
        <f t="array" aca="1" ref="AI178" ca="1">IF(OR(Formulas!AJ176=0,Formulas!AJ176=""),"",HYPERLINK("["&amp;Archivo_Nombre&amp;"]Datos!"&amp;LEFT(SUBSTITUTE(ADDRESS(1,Formulas!AJ176+2),"$",""))&amp;Formulas!AI176+1,
IFERROR(INDEX(Datos!$A$2:$K$102,Formulas!AI176,Formulas!AJ176+2),"")))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21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IFERROR(INDEX(Datos!$A$2:$K$102,Formulas!AM175,RIGHT(Formulas!AO175)+2),"")))</f>
        <v/>
      </c>
      <c r="AN178" s="121" t="str" cm="1">
        <f t="array" aca="1" ref="AN178" ca="1">IF(OR(Formulas!AO176=0,Formulas!AO176=""),"",HYPERLINK("["&amp;Archivo_Nombre&amp;"]Datos!"&amp;LEFT(SUBSTITUTE(ADDRESS(1,Formulas!AO176+2),"$",""))&amp;Formulas!AN176+1,
IFERROR(INDEX(Datos!$A$2:$K$102,Formulas!AN176,Formulas!AO176+2),"")))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21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IFERROR(INDEX(Datos!$A$2:$K$102,Formulas!AR175,RIGHT(Formulas!AT175)+2),"")))</f>
        <v/>
      </c>
      <c r="AS178" s="121" t="str" cm="1">
        <f t="array" aca="1" ref="AS178" ca="1">IF(OR(Formulas!AT176=0,Formulas!AT176=""),"",HYPERLINK("["&amp;Archivo_Nombre&amp;"]Datos!"&amp;LEFT(SUBSTITUTE(ADDRESS(1,Formulas!AT176+2),"$",""))&amp;Formulas!AS176+1,
IFERROR(INDEX(Datos!$A$2:$K$102,Formulas!AS176,Formulas!AT176+2),"")))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21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IFERROR(INDEX(Datos!$A$2:$K$102,Formulas!AW175,RIGHT(Formulas!AY175)+2),"")))</f>
        <v/>
      </c>
      <c r="AX178" s="121" t="str" cm="1">
        <f t="array" aca="1" ref="AX178" ca="1">IF(OR(Formulas!AY176=0,Formulas!AY176=""),"",HYPERLINK("["&amp;Archivo_Nombre&amp;"]Datos!"&amp;LEFT(SUBSTITUTE(ADDRESS(1,Formulas!AY176+2),"$",""))&amp;Formulas!AX176+1,
IFERROR(INDEX(Datos!$A$2:$K$102,Formulas!AX176,Formulas!AY176+2),"")))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21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IFERROR(INDEX(Datos!$A$2:$K$102,Formulas!D176,RIGHT(Formulas!F176)+2),"")))</f>
        <v/>
      </c>
      <c r="E179" s="121" t="str" cm="1">
        <f t="array" aca="1" ref="E179" ca="1">IF(OR(Formulas!F177=0,Formulas!F177=""),"",HYPERLINK("["&amp;Archivo_Nombre&amp;"]Datos!"&amp;LEFT(SUBSTITUTE(ADDRESS(1,Formulas!F177+2),"$",""))&amp;Formulas!E177+1,
IFERROR(INDEX(Datos!$A$2:$K$102,Formulas!E177,Formulas!F177+2),"")))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21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IFERROR(INDEX(Datos!$A$2:$K$102,Formulas!I176,RIGHT(Formulas!K176)+2),"")))</f>
        <v/>
      </c>
      <c r="J179" s="121" t="str" cm="1">
        <f t="array" aca="1" ref="J179" ca="1">IF(OR(Formulas!K177=0,Formulas!K177=""),"",HYPERLINK("["&amp;Archivo_Nombre&amp;"]Datos!"&amp;LEFT(SUBSTITUTE(ADDRESS(1,Formulas!K177+2),"$",""))&amp;Formulas!J177+1,
IFERROR(INDEX(Datos!$A$2:$K$102,Formulas!J177,Formulas!K177+2),"")))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21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IFERROR(INDEX(Datos!$A$2:$K$102,Formulas!N176,RIGHT(Formulas!P176)+2),"")))</f>
        <v/>
      </c>
      <c r="O179" s="121" t="str" cm="1">
        <f t="array" aca="1" ref="O179" ca="1">IF(OR(Formulas!P177=0,Formulas!P177=""),"",HYPERLINK("["&amp;Archivo_Nombre&amp;"]Datos!"&amp;LEFT(SUBSTITUTE(ADDRESS(1,Formulas!P177+2),"$",""))&amp;Formulas!O177+1,
IFERROR(INDEX(Datos!$A$2:$K$102,Formulas!O177,Formulas!P177+2),"")))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21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IFERROR(INDEX(Datos!$A$2:$K$102,Formulas!S176,RIGHT(Formulas!U176)+2),"")))</f>
        <v>45849</v>
      </c>
      <c r="T179" s="121" t="e" cm="1">
        <f t="array" aca="1" ref="T179" ca="1">IF(OR(Formulas!U177=0,Formulas!U177=""),"",HYPERLINK("["&amp;Archivo_Nombre&amp;"]Datos!"&amp;LEFT(SUBSTITUTE(ADDRESS(1,Formulas!U177+2),"$",""))&amp;Formulas!T177+1,
IFERROR(INDEX(Datos!$A$2:$K$102,Formulas!T177,Formulas!U177+2),"")))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21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IFERROR(INDEX(Datos!$A$2:$K$102,Formulas!X176,RIGHT(Formulas!Z176)+2),"")))</f>
        <v/>
      </c>
      <c r="Y179" s="121" t="str" cm="1">
        <f t="array" aca="1" ref="Y179" ca="1">IF(OR(Formulas!Z177=0,Formulas!Z177=""),"",HYPERLINK("["&amp;Archivo_Nombre&amp;"]Datos!"&amp;LEFT(SUBSTITUTE(ADDRESS(1,Formulas!Z177+2),"$",""))&amp;Formulas!Y177+1,
IFERROR(INDEX(Datos!$A$2:$K$102,Formulas!Y177,Formulas!Z177+2),"")))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21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IFERROR(INDEX(Datos!$A$2:$K$102,Formulas!AC176,RIGHT(Formulas!AE176)+2),"")))</f>
        <v/>
      </c>
      <c r="AD179" s="121" t="str" cm="1">
        <f t="array" aca="1" ref="AD179" ca="1">IF(OR(Formulas!AE177=0,Formulas!AE177=""),"",HYPERLINK("["&amp;Archivo_Nombre&amp;"]Datos!"&amp;LEFT(SUBSTITUTE(ADDRESS(1,Formulas!AE177+2),"$",""))&amp;Formulas!AD177+1,
IFERROR(INDEX(Datos!$A$2:$K$102,Formulas!AD177,Formulas!AE177+2),"")))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21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IFERROR(INDEX(Datos!$A$2:$K$102,Formulas!AH176,RIGHT(Formulas!AJ176)+2),"")))</f>
        <v/>
      </c>
      <c r="AI179" s="121" t="str" cm="1">
        <f t="array" aca="1" ref="AI179" ca="1">IF(OR(Formulas!AJ177=0,Formulas!AJ177=""),"",HYPERLINK("["&amp;Archivo_Nombre&amp;"]Datos!"&amp;LEFT(SUBSTITUTE(ADDRESS(1,Formulas!AJ177+2),"$",""))&amp;Formulas!AI177+1,
IFERROR(INDEX(Datos!$A$2:$K$102,Formulas!AI177,Formulas!AJ177+2),"")))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21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IFERROR(INDEX(Datos!$A$2:$K$102,Formulas!AM176,RIGHT(Formulas!AO176)+2),"")))</f>
        <v/>
      </c>
      <c r="AN179" s="121" t="str" cm="1">
        <f t="array" aca="1" ref="AN179" ca="1">IF(OR(Formulas!AO177=0,Formulas!AO177=""),"",HYPERLINK("["&amp;Archivo_Nombre&amp;"]Datos!"&amp;LEFT(SUBSTITUTE(ADDRESS(1,Formulas!AO177+2),"$",""))&amp;Formulas!AN177+1,
IFERROR(INDEX(Datos!$A$2:$K$102,Formulas!AN177,Formulas!AO177+2),"")))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21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IFERROR(INDEX(Datos!$A$2:$K$102,Formulas!AR176,RIGHT(Formulas!AT176)+2),"")))</f>
        <v/>
      </c>
      <c r="AS179" s="121" t="str" cm="1">
        <f t="array" aca="1" ref="AS179" ca="1">IF(OR(Formulas!AT177=0,Formulas!AT177=""),"",HYPERLINK("["&amp;Archivo_Nombre&amp;"]Datos!"&amp;LEFT(SUBSTITUTE(ADDRESS(1,Formulas!AT177+2),"$",""))&amp;Formulas!AS177+1,
IFERROR(INDEX(Datos!$A$2:$K$102,Formulas!AS177,Formulas!AT177+2),"")))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21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IFERROR(INDEX(Datos!$A$2:$K$102,Formulas!AW176,RIGHT(Formulas!AY176)+2),"")))</f>
        <v/>
      </c>
      <c r="AX179" s="121" t="str" cm="1">
        <f t="array" aca="1" ref="AX179" ca="1">IF(OR(Formulas!AY177=0,Formulas!AY177=""),"",HYPERLINK("["&amp;Archivo_Nombre&amp;"]Datos!"&amp;LEFT(SUBSTITUTE(ADDRESS(1,Formulas!AY177+2),"$",""))&amp;Formulas!AX177+1,
IFERROR(INDEX(Datos!$A$2:$K$102,Formulas!AX177,Formulas!AY177+2),"")))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21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IFERROR(INDEX(Datos!$A$2:$K$102,Formulas!D177,RIGHT(Formulas!F177)+2),"")))</f>
        <v/>
      </c>
      <c r="E180" s="121" t="str" cm="1">
        <f t="array" aca="1" ref="E180" ca="1">IF(OR(Formulas!F178=0,Formulas!F178=""),"",HYPERLINK("["&amp;Archivo_Nombre&amp;"]Datos!"&amp;LEFT(SUBSTITUTE(ADDRESS(1,Formulas!F178+2),"$",""))&amp;Formulas!E178+1,
IFERROR(INDEX(Datos!$A$2:$K$102,Formulas!E178,Formulas!F178+2),"")))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21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IFERROR(INDEX(Datos!$A$2:$K$102,Formulas!I177,RIGHT(Formulas!K177)+2),"")))</f>
        <v/>
      </c>
      <c r="J180" s="121" t="str" cm="1">
        <f t="array" aca="1" ref="J180" ca="1">IF(OR(Formulas!K178=0,Formulas!K178=""),"",HYPERLINK("["&amp;Archivo_Nombre&amp;"]Datos!"&amp;LEFT(SUBSTITUTE(ADDRESS(1,Formulas!K178+2),"$",""))&amp;Formulas!J178+1,
IFERROR(INDEX(Datos!$A$2:$K$102,Formulas!J178,Formulas!K178+2),"")))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21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IFERROR(INDEX(Datos!$A$2:$K$102,Formulas!N177,RIGHT(Formulas!P177)+2),"")))</f>
        <v/>
      </c>
      <c r="O180" s="121" t="str" cm="1">
        <f t="array" aca="1" ref="O180" ca="1">IF(OR(Formulas!P178=0,Formulas!P178=""),"",HYPERLINK("["&amp;Archivo_Nombre&amp;"]Datos!"&amp;LEFT(SUBSTITUTE(ADDRESS(1,Formulas!P178+2),"$",""))&amp;Formulas!O178+1,
IFERROR(INDEX(Datos!$A$2:$K$102,Formulas!O178,Formulas!P178+2),"")))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21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IFERROR(INDEX(Datos!$A$2:$K$102,Formulas!S177,RIGHT(Formulas!U177)+2),"")))</f>
        <v>45850</v>
      </c>
      <c r="T180" s="121" t="e" cm="1">
        <f t="array" aca="1" ref="T180" ca="1">IF(OR(Formulas!U178=0,Formulas!U178=""),"",HYPERLINK("["&amp;Archivo_Nombre&amp;"]Datos!"&amp;LEFT(SUBSTITUTE(ADDRESS(1,Formulas!U178+2),"$",""))&amp;Formulas!T178+1,
IFERROR(INDEX(Datos!$A$2:$K$102,Formulas!T178,Formulas!U178+2),"")))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21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IFERROR(INDEX(Datos!$A$2:$K$102,Formulas!X177,RIGHT(Formulas!Z177)+2),"")))</f>
        <v/>
      </c>
      <c r="Y180" s="121" t="str" cm="1">
        <f t="array" aca="1" ref="Y180" ca="1">IF(OR(Formulas!Z178=0,Formulas!Z178=""),"",HYPERLINK("["&amp;Archivo_Nombre&amp;"]Datos!"&amp;LEFT(SUBSTITUTE(ADDRESS(1,Formulas!Z178+2),"$",""))&amp;Formulas!Y178+1,
IFERROR(INDEX(Datos!$A$2:$K$102,Formulas!Y178,Formulas!Z178+2),"")))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21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IFERROR(INDEX(Datos!$A$2:$K$102,Formulas!AC177,RIGHT(Formulas!AE177)+2),"")))</f>
        <v/>
      </c>
      <c r="AD180" s="121" t="str" cm="1">
        <f t="array" aca="1" ref="AD180" ca="1">IF(OR(Formulas!AE178=0,Formulas!AE178=""),"",HYPERLINK("["&amp;Archivo_Nombre&amp;"]Datos!"&amp;LEFT(SUBSTITUTE(ADDRESS(1,Formulas!AE178+2),"$",""))&amp;Formulas!AD178+1,
IFERROR(INDEX(Datos!$A$2:$K$102,Formulas!AD178,Formulas!AE178+2),"")))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21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IFERROR(INDEX(Datos!$A$2:$K$102,Formulas!AH177,RIGHT(Formulas!AJ177)+2),"")))</f>
        <v/>
      </c>
      <c r="AI180" s="121" t="str" cm="1">
        <f t="array" aca="1" ref="AI180" ca="1">IF(OR(Formulas!AJ178=0,Formulas!AJ178=""),"",HYPERLINK("["&amp;Archivo_Nombre&amp;"]Datos!"&amp;LEFT(SUBSTITUTE(ADDRESS(1,Formulas!AJ178+2),"$",""))&amp;Formulas!AI178+1,
IFERROR(INDEX(Datos!$A$2:$K$102,Formulas!AI178,Formulas!AJ178+2),"")))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21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IFERROR(INDEX(Datos!$A$2:$K$102,Formulas!AM177,RIGHT(Formulas!AO177)+2),"")))</f>
        <v/>
      </c>
      <c r="AN180" s="121" t="str" cm="1">
        <f t="array" aca="1" ref="AN180" ca="1">IF(OR(Formulas!AO178=0,Formulas!AO178=""),"",HYPERLINK("["&amp;Archivo_Nombre&amp;"]Datos!"&amp;LEFT(SUBSTITUTE(ADDRESS(1,Formulas!AO178+2),"$",""))&amp;Formulas!AN178+1,
IFERROR(INDEX(Datos!$A$2:$K$102,Formulas!AN178,Formulas!AO178+2),"")))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21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IFERROR(INDEX(Datos!$A$2:$K$102,Formulas!AR177,RIGHT(Formulas!AT177)+2),"")))</f>
        <v/>
      </c>
      <c r="AS180" s="121" t="str" cm="1">
        <f t="array" aca="1" ref="AS180" ca="1">IF(OR(Formulas!AT178=0,Formulas!AT178=""),"",HYPERLINK("["&amp;Archivo_Nombre&amp;"]Datos!"&amp;LEFT(SUBSTITUTE(ADDRESS(1,Formulas!AT178+2),"$",""))&amp;Formulas!AS178+1,
IFERROR(INDEX(Datos!$A$2:$K$102,Formulas!AS178,Formulas!AT178+2),"")))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21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IFERROR(INDEX(Datos!$A$2:$K$102,Formulas!AW177,RIGHT(Formulas!AY177)+2),"")))</f>
        <v/>
      </c>
      <c r="AX180" s="121" t="str" cm="1">
        <f t="array" aca="1" ref="AX180" ca="1">IF(OR(Formulas!AY178=0,Formulas!AY178=""),"",HYPERLINK("["&amp;Archivo_Nombre&amp;"]Datos!"&amp;LEFT(SUBSTITUTE(ADDRESS(1,Formulas!AY178+2),"$",""))&amp;Formulas!AX178+1,
IFERROR(INDEX(Datos!$A$2:$K$102,Formulas!AX178,Formulas!AY178+2),"")))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21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IFERROR(INDEX(Datos!$A$2:$K$102,Formulas!D178,RIGHT(Formulas!F178)+2),"")))</f>
        <v/>
      </c>
      <c r="E181" s="121" t="str" cm="1">
        <f t="array" aca="1" ref="E181" ca="1">IF(OR(Formulas!F179=0,Formulas!F179=""),"",HYPERLINK("["&amp;Archivo_Nombre&amp;"]Datos!"&amp;LEFT(SUBSTITUTE(ADDRESS(1,Formulas!F179+2),"$",""))&amp;Formulas!E179+1,
IFERROR(INDEX(Datos!$A$2:$K$102,Formulas!E179,Formulas!F179+2),"")))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21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IFERROR(INDEX(Datos!$A$2:$K$102,Formulas!I178,RIGHT(Formulas!K178)+2),"")))</f>
        <v/>
      </c>
      <c r="J181" s="121" t="str" cm="1">
        <f t="array" aca="1" ref="J181" ca="1">IF(OR(Formulas!K179=0,Formulas!K179=""),"",HYPERLINK("["&amp;Archivo_Nombre&amp;"]Datos!"&amp;LEFT(SUBSTITUTE(ADDRESS(1,Formulas!K179+2),"$",""))&amp;Formulas!J179+1,
IFERROR(INDEX(Datos!$A$2:$K$102,Formulas!J179,Formulas!K179+2),"")))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21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IFERROR(INDEX(Datos!$A$2:$K$102,Formulas!N178,RIGHT(Formulas!P178)+2),"")))</f>
        <v/>
      </c>
      <c r="O181" s="121" t="str" cm="1">
        <f t="array" aca="1" ref="O181" ca="1">IF(OR(Formulas!P179=0,Formulas!P179=""),"",HYPERLINK("["&amp;Archivo_Nombre&amp;"]Datos!"&amp;LEFT(SUBSTITUTE(ADDRESS(1,Formulas!P179+2),"$",""))&amp;Formulas!O179+1,
IFERROR(INDEX(Datos!$A$2:$K$102,Formulas!O179,Formulas!P179+2),"")))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21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IFERROR(INDEX(Datos!$A$2:$K$102,Formulas!S178,RIGHT(Formulas!U178)+2),"")))</f>
        <v>45850</v>
      </c>
      <c r="T181" s="121" t="e" cm="1">
        <f t="array" aca="1" ref="T181" ca="1">IF(OR(Formulas!U179=0,Formulas!U179=""),"",HYPERLINK("["&amp;Archivo_Nombre&amp;"]Datos!"&amp;LEFT(SUBSTITUTE(ADDRESS(1,Formulas!U179+2),"$",""))&amp;Formulas!T179+1,
IFERROR(INDEX(Datos!$A$2:$K$102,Formulas!T179,Formulas!U179+2),"")))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21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IFERROR(INDEX(Datos!$A$2:$K$102,Formulas!X178,RIGHT(Formulas!Z178)+2),"")))</f>
        <v/>
      </c>
      <c r="Y181" s="121" t="str" cm="1">
        <f t="array" aca="1" ref="Y181" ca="1">IF(OR(Formulas!Z179=0,Formulas!Z179=""),"",HYPERLINK("["&amp;Archivo_Nombre&amp;"]Datos!"&amp;LEFT(SUBSTITUTE(ADDRESS(1,Formulas!Z179+2),"$",""))&amp;Formulas!Y179+1,
IFERROR(INDEX(Datos!$A$2:$K$102,Formulas!Y179,Formulas!Z179+2),"")))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21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IFERROR(INDEX(Datos!$A$2:$K$102,Formulas!AC178,RIGHT(Formulas!AE178)+2),"")))</f>
        <v/>
      </c>
      <c r="AD181" s="121" t="str" cm="1">
        <f t="array" aca="1" ref="AD181" ca="1">IF(OR(Formulas!AE179=0,Formulas!AE179=""),"",HYPERLINK("["&amp;Archivo_Nombre&amp;"]Datos!"&amp;LEFT(SUBSTITUTE(ADDRESS(1,Formulas!AE179+2),"$",""))&amp;Formulas!AD179+1,
IFERROR(INDEX(Datos!$A$2:$K$102,Formulas!AD179,Formulas!AE179+2),"")))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21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IFERROR(INDEX(Datos!$A$2:$K$102,Formulas!AH178,RIGHT(Formulas!AJ178)+2),"")))</f>
        <v/>
      </c>
      <c r="AI181" s="121" t="str" cm="1">
        <f t="array" aca="1" ref="AI181" ca="1">IF(OR(Formulas!AJ179=0,Formulas!AJ179=""),"",HYPERLINK("["&amp;Archivo_Nombre&amp;"]Datos!"&amp;LEFT(SUBSTITUTE(ADDRESS(1,Formulas!AJ179+2),"$",""))&amp;Formulas!AI179+1,
IFERROR(INDEX(Datos!$A$2:$K$102,Formulas!AI179,Formulas!AJ179+2),"")))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21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IFERROR(INDEX(Datos!$A$2:$K$102,Formulas!AM178,RIGHT(Formulas!AO178)+2),"")))</f>
        <v/>
      </c>
      <c r="AN181" s="121" t="str" cm="1">
        <f t="array" aca="1" ref="AN181" ca="1">IF(OR(Formulas!AO179=0,Formulas!AO179=""),"",HYPERLINK("["&amp;Archivo_Nombre&amp;"]Datos!"&amp;LEFT(SUBSTITUTE(ADDRESS(1,Formulas!AO179+2),"$",""))&amp;Formulas!AN179+1,
IFERROR(INDEX(Datos!$A$2:$K$102,Formulas!AN179,Formulas!AO179+2),"")))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21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IFERROR(INDEX(Datos!$A$2:$K$102,Formulas!AR178,RIGHT(Formulas!AT178)+2),"")))</f>
        <v/>
      </c>
      <c r="AS181" s="121" t="str" cm="1">
        <f t="array" aca="1" ref="AS181" ca="1">IF(OR(Formulas!AT179=0,Formulas!AT179=""),"",HYPERLINK("["&amp;Archivo_Nombre&amp;"]Datos!"&amp;LEFT(SUBSTITUTE(ADDRESS(1,Formulas!AT179+2),"$",""))&amp;Formulas!AS179+1,
IFERROR(INDEX(Datos!$A$2:$K$102,Formulas!AS179,Formulas!AT179+2),"")))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21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IFERROR(INDEX(Datos!$A$2:$K$102,Formulas!AW178,RIGHT(Formulas!AY178)+2),"")))</f>
        <v/>
      </c>
      <c r="AX181" s="121" t="str" cm="1">
        <f t="array" aca="1" ref="AX181" ca="1">IF(OR(Formulas!AY179=0,Formulas!AY179=""),"",HYPERLINK("["&amp;Archivo_Nombre&amp;"]Datos!"&amp;LEFT(SUBSTITUTE(ADDRESS(1,Formulas!AY179+2),"$",""))&amp;Formulas!AX179+1,
IFERROR(INDEX(Datos!$A$2:$K$102,Formulas!AX179,Formulas!AY179+2),"")))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21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IFERROR(INDEX(Datos!$A$2:$K$102,Formulas!D179,RIGHT(Formulas!F179)+2),"")))</f>
        <v/>
      </c>
      <c r="E182" s="121" t="str" cm="1">
        <f t="array" aca="1" ref="E182" ca="1">IF(OR(Formulas!F180=0,Formulas!F180=""),"",HYPERLINK("["&amp;Archivo_Nombre&amp;"]Datos!"&amp;LEFT(SUBSTITUTE(ADDRESS(1,Formulas!F180+2),"$",""))&amp;Formulas!E180+1,
IFERROR(INDEX(Datos!$A$2:$K$102,Formulas!E180,Formulas!F180+2),"")))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21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IFERROR(INDEX(Datos!$A$2:$K$102,Formulas!I179,RIGHT(Formulas!K179)+2),"")))</f>
        <v/>
      </c>
      <c r="J182" s="121" t="str" cm="1">
        <f t="array" aca="1" ref="J182" ca="1">IF(OR(Formulas!K180=0,Formulas!K180=""),"",HYPERLINK("["&amp;Archivo_Nombre&amp;"]Datos!"&amp;LEFT(SUBSTITUTE(ADDRESS(1,Formulas!K180+2),"$",""))&amp;Formulas!J180+1,
IFERROR(INDEX(Datos!$A$2:$K$102,Formulas!J180,Formulas!K180+2),"")))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21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IFERROR(INDEX(Datos!$A$2:$K$102,Formulas!N179,RIGHT(Formulas!P179)+2),"")))</f>
        <v/>
      </c>
      <c r="O182" s="121" t="str" cm="1">
        <f t="array" aca="1" ref="O182" ca="1">IF(OR(Formulas!P180=0,Formulas!P180=""),"",HYPERLINK("["&amp;Archivo_Nombre&amp;"]Datos!"&amp;LEFT(SUBSTITUTE(ADDRESS(1,Formulas!P180+2),"$",""))&amp;Formulas!O180+1,
IFERROR(INDEX(Datos!$A$2:$K$102,Formulas!O180,Formulas!P180+2),"")))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21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IFERROR(INDEX(Datos!$A$2:$K$102,Formulas!S179,RIGHT(Formulas!U179)+2),"")))</f>
        <v>2 días</v>
      </c>
      <c r="T182" s="121" t="e" cm="1">
        <f t="array" aca="1" ref="T182" ca="1">IF(OR(Formulas!U180=0,Formulas!U180=""),"",HYPERLINK("["&amp;Archivo_Nombre&amp;"]Datos!"&amp;LEFT(SUBSTITUTE(ADDRESS(1,Formulas!U180+2),"$",""))&amp;Formulas!T180+1,
IFERROR(INDEX(Datos!$A$2:$K$102,Formulas!T180,Formulas!U180+2),"")))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21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IFERROR(INDEX(Datos!$A$2:$K$102,Formulas!X179,RIGHT(Formulas!Z179)+2),"")))</f>
        <v/>
      </c>
      <c r="Y182" s="121" t="str" cm="1">
        <f t="array" aca="1" ref="Y182" ca="1">IF(OR(Formulas!Z180=0,Formulas!Z180=""),"",HYPERLINK("["&amp;Archivo_Nombre&amp;"]Datos!"&amp;LEFT(SUBSTITUTE(ADDRESS(1,Formulas!Z180+2),"$",""))&amp;Formulas!Y180+1,
IFERROR(INDEX(Datos!$A$2:$K$102,Formulas!Y180,Formulas!Z180+2),"")))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21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IFERROR(INDEX(Datos!$A$2:$K$102,Formulas!AC179,RIGHT(Formulas!AE179)+2),"")))</f>
        <v/>
      </c>
      <c r="AD182" s="121" t="str" cm="1">
        <f t="array" aca="1" ref="AD182" ca="1">IF(OR(Formulas!AE180=0,Formulas!AE180=""),"",HYPERLINK("["&amp;Archivo_Nombre&amp;"]Datos!"&amp;LEFT(SUBSTITUTE(ADDRESS(1,Formulas!AE180+2),"$",""))&amp;Formulas!AD180+1,
IFERROR(INDEX(Datos!$A$2:$K$102,Formulas!AD180,Formulas!AE180+2),"")))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21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IFERROR(INDEX(Datos!$A$2:$K$102,Formulas!AH179,RIGHT(Formulas!AJ179)+2),"")))</f>
        <v/>
      </c>
      <c r="AI182" s="121" t="str" cm="1">
        <f t="array" aca="1" ref="AI182" ca="1">IF(OR(Formulas!AJ180=0,Formulas!AJ180=""),"",HYPERLINK("["&amp;Archivo_Nombre&amp;"]Datos!"&amp;LEFT(SUBSTITUTE(ADDRESS(1,Formulas!AJ180+2),"$",""))&amp;Formulas!AI180+1,
IFERROR(INDEX(Datos!$A$2:$K$102,Formulas!AI180,Formulas!AJ180+2),"")))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21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IFERROR(INDEX(Datos!$A$2:$K$102,Formulas!AM179,RIGHT(Formulas!AO179)+2),"")))</f>
        <v/>
      </c>
      <c r="AN182" s="121" t="str" cm="1">
        <f t="array" aca="1" ref="AN182" ca="1">IF(OR(Formulas!AO180=0,Formulas!AO180=""),"",HYPERLINK("["&amp;Archivo_Nombre&amp;"]Datos!"&amp;LEFT(SUBSTITUTE(ADDRESS(1,Formulas!AO180+2),"$",""))&amp;Formulas!AN180+1,
IFERROR(INDEX(Datos!$A$2:$K$102,Formulas!AN180,Formulas!AO180+2),"")))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21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IFERROR(INDEX(Datos!$A$2:$K$102,Formulas!AR179,RIGHT(Formulas!AT179)+2),"")))</f>
        <v/>
      </c>
      <c r="AS182" s="121" t="str" cm="1">
        <f t="array" aca="1" ref="AS182" ca="1">IF(OR(Formulas!AT180=0,Formulas!AT180=""),"",HYPERLINK("["&amp;Archivo_Nombre&amp;"]Datos!"&amp;LEFT(SUBSTITUTE(ADDRESS(1,Formulas!AT180+2),"$",""))&amp;Formulas!AS180+1,
IFERROR(INDEX(Datos!$A$2:$K$102,Formulas!AS180,Formulas!AT180+2),"")))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21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IFERROR(INDEX(Datos!$A$2:$K$102,Formulas!AW179,RIGHT(Formulas!AY179)+2),"")))</f>
        <v/>
      </c>
      <c r="AX182" s="121" t="str" cm="1">
        <f t="array" aca="1" ref="AX182" ca="1">IF(OR(Formulas!AY180=0,Formulas!AY180=""),"",HYPERLINK("["&amp;Archivo_Nombre&amp;"]Datos!"&amp;LEFT(SUBSTITUTE(ADDRESS(1,Formulas!AY180+2),"$",""))&amp;Formulas!AX180+1,
IFERROR(INDEX(Datos!$A$2:$K$102,Formulas!AX180,Formulas!AY180+2),"")))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21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IFERROR(INDEX(Datos!$A$2:$K$102,Formulas!D180,RIGHT(Formulas!F180)+2),"")))</f>
        <v/>
      </c>
      <c r="E183" s="121" t="str" cm="1">
        <f t="array" aca="1" ref="E183" ca="1">IF(OR(Formulas!F181=0,Formulas!F181=""),"",HYPERLINK("["&amp;Archivo_Nombre&amp;"]Datos!"&amp;LEFT(SUBSTITUTE(ADDRESS(1,Formulas!F181+2),"$",""))&amp;Formulas!E181+1,
IFERROR(INDEX(Datos!$A$2:$K$102,Formulas!E181,Formulas!F181+2),"")))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21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IFERROR(INDEX(Datos!$A$2:$K$102,Formulas!I180,RIGHT(Formulas!K180)+2),"")))</f>
        <v/>
      </c>
      <c r="J183" s="121" t="str" cm="1">
        <f t="array" aca="1" ref="J183" ca="1">IF(OR(Formulas!K181=0,Formulas!K181=""),"",HYPERLINK("["&amp;Archivo_Nombre&amp;"]Datos!"&amp;LEFT(SUBSTITUTE(ADDRESS(1,Formulas!K181+2),"$",""))&amp;Formulas!J181+1,
IFERROR(INDEX(Datos!$A$2:$K$102,Formulas!J181,Formulas!K181+2),"")))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21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IFERROR(INDEX(Datos!$A$2:$K$102,Formulas!N180,RIGHT(Formulas!P180)+2),"")))</f>
        <v/>
      </c>
      <c r="O183" s="121" t="str" cm="1">
        <f t="array" aca="1" ref="O183" ca="1">IF(OR(Formulas!P181=0,Formulas!P181=""),"",HYPERLINK("["&amp;Archivo_Nombre&amp;"]Datos!"&amp;LEFT(SUBSTITUTE(ADDRESS(1,Formulas!P181+2),"$",""))&amp;Formulas!O181+1,
IFERROR(INDEX(Datos!$A$2:$K$102,Formulas!O181,Formulas!P181+2),"")))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21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IFERROR(INDEX(Datos!$A$2:$K$102,Formulas!S180,RIGHT(Formulas!U180)+2),"")))</f>
        <v>0 días</v>
      </c>
      <c r="T183" s="121" t="e" cm="1">
        <f t="array" aca="1" ref="T183" ca="1">IF(OR(Formulas!U181=0,Formulas!U181=""),"",HYPERLINK("["&amp;Archivo_Nombre&amp;"]Datos!"&amp;LEFT(SUBSTITUTE(ADDRESS(1,Formulas!U181+2),"$",""))&amp;Formulas!T181+1,
IFERROR(INDEX(Datos!$A$2:$K$102,Formulas!T181,Formulas!U181+2),"")))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21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IFERROR(INDEX(Datos!$A$2:$K$102,Formulas!X180,RIGHT(Formulas!Z180)+2),"")))</f>
        <v/>
      </c>
      <c r="Y183" s="121" t="str" cm="1">
        <f t="array" aca="1" ref="Y183" ca="1">IF(OR(Formulas!Z181=0,Formulas!Z181=""),"",HYPERLINK("["&amp;Archivo_Nombre&amp;"]Datos!"&amp;LEFT(SUBSTITUTE(ADDRESS(1,Formulas!Z181+2),"$",""))&amp;Formulas!Y181+1,
IFERROR(INDEX(Datos!$A$2:$K$102,Formulas!Y181,Formulas!Z181+2),"")))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21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IFERROR(INDEX(Datos!$A$2:$K$102,Formulas!AC180,RIGHT(Formulas!AE180)+2),"")))</f>
        <v/>
      </c>
      <c r="AD183" s="121" t="str" cm="1">
        <f t="array" aca="1" ref="AD183" ca="1">IF(OR(Formulas!AE181=0,Formulas!AE181=""),"",HYPERLINK("["&amp;Archivo_Nombre&amp;"]Datos!"&amp;LEFT(SUBSTITUTE(ADDRESS(1,Formulas!AE181+2),"$",""))&amp;Formulas!AD181+1,
IFERROR(INDEX(Datos!$A$2:$K$102,Formulas!AD181,Formulas!AE181+2),"")))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21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IFERROR(INDEX(Datos!$A$2:$K$102,Formulas!AH180,RIGHT(Formulas!AJ180)+2),"")))</f>
        <v/>
      </c>
      <c r="AI183" s="121" t="str" cm="1">
        <f t="array" aca="1" ref="AI183" ca="1">IF(OR(Formulas!AJ181=0,Formulas!AJ181=""),"",HYPERLINK("["&amp;Archivo_Nombre&amp;"]Datos!"&amp;LEFT(SUBSTITUTE(ADDRESS(1,Formulas!AJ181+2),"$",""))&amp;Formulas!AI181+1,
IFERROR(INDEX(Datos!$A$2:$K$102,Formulas!AI181,Formulas!AJ181+2),"")))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21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IFERROR(INDEX(Datos!$A$2:$K$102,Formulas!AM180,RIGHT(Formulas!AO180)+2),"")))</f>
        <v/>
      </c>
      <c r="AN183" s="121" t="str" cm="1">
        <f t="array" aca="1" ref="AN183" ca="1">IF(OR(Formulas!AO181=0,Formulas!AO181=""),"",HYPERLINK("["&amp;Archivo_Nombre&amp;"]Datos!"&amp;LEFT(SUBSTITUTE(ADDRESS(1,Formulas!AO181+2),"$",""))&amp;Formulas!AN181+1,
IFERROR(INDEX(Datos!$A$2:$K$102,Formulas!AN181,Formulas!AO181+2),"")))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21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IFERROR(INDEX(Datos!$A$2:$K$102,Formulas!AR180,RIGHT(Formulas!AT180)+2),"")))</f>
        <v/>
      </c>
      <c r="AS183" s="121" t="str" cm="1">
        <f t="array" aca="1" ref="AS183" ca="1">IF(OR(Formulas!AT181=0,Formulas!AT181=""),"",HYPERLINK("["&amp;Archivo_Nombre&amp;"]Datos!"&amp;LEFT(SUBSTITUTE(ADDRESS(1,Formulas!AT181+2),"$",""))&amp;Formulas!AS181+1,
IFERROR(INDEX(Datos!$A$2:$K$102,Formulas!AS181,Formulas!AT181+2),"")))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21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IFERROR(INDEX(Datos!$A$2:$K$102,Formulas!AW180,RIGHT(Formulas!AY180)+2),"")))</f>
        <v/>
      </c>
      <c r="AX183" s="121" t="str" cm="1">
        <f t="array" aca="1" ref="AX183" ca="1">IF(OR(Formulas!AY181=0,Formulas!AY181=""),"",HYPERLINK("["&amp;Archivo_Nombre&amp;"]Datos!"&amp;LEFT(SUBSTITUTE(ADDRESS(1,Formulas!AY181+2),"$",""))&amp;Formulas!AX181+1,
IFERROR(INDEX(Datos!$A$2:$K$102,Formulas!AX181,Formulas!AY181+2),"")))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21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IFERROR(INDEX(Datos!$A$2:$K$102,Formulas!D181,RIGHT(Formulas!F181)+2),"")))</f>
        <v/>
      </c>
      <c r="E184" s="121" t="str" cm="1">
        <f t="array" aca="1" ref="E184" ca="1">IF(OR(Formulas!F182=0,Formulas!F182=""),"",HYPERLINK("["&amp;Archivo_Nombre&amp;"]Datos!"&amp;LEFT(SUBSTITUTE(ADDRESS(1,Formulas!F182+2),"$",""))&amp;Formulas!E182+1,
IFERROR(INDEX(Datos!$A$2:$K$102,Formulas!E182,Formulas!F182+2),"")))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21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IFERROR(INDEX(Datos!$A$2:$K$102,Formulas!I181,RIGHT(Formulas!K181)+2),"")))</f>
        <v/>
      </c>
      <c r="J184" s="121" t="str" cm="1">
        <f t="array" aca="1" ref="J184" ca="1">IF(OR(Formulas!K182=0,Formulas!K182=""),"",HYPERLINK("["&amp;Archivo_Nombre&amp;"]Datos!"&amp;LEFT(SUBSTITUTE(ADDRESS(1,Formulas!K182+2),"$",""))&amp;Formulas!J182+1,
IFERROR(INDEX(Datos!$A$2:$K$102,Formulas!J182,Formulas!K182+2),"")))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21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IFERROR(INDEX(Datos!$A$2:$K$102,Formulas!N181,RIGHT(Formulas!P181)+2),"")))</f>
        <v/>
      </c>
      <c r="O184" s="121" t="str" cm="1">
        <f t="array" aca="1" ref="O184" ca="1">IF(OR(Formulas!P182=0,Formulas!P182=""),"",HYPERLINK("["&amp;Archivo_Nombre&amp;"]Datos!"&amp;LEFT(SUBSTITUTE(ADDRESS(1,Formulas!P182+2),"$",""))&amp;Formulas!O182+1,
IFERROR(INDEX(Datos!$A$2:$K$102,Formulas!O182,Formulas!P182+2),"")))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21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IFERROR(INDEX(Datos!$A$2:$K$102,Formulas!S181,RIGHT(Formulas!U181)+2),"")))</f>
        <v>Paulina Quishpe</v>
      </c>
      <c r="T184" s="121" t="str" cm="1">
        <f t="array" aca="1" ref="T184" ca="1">IF(OR(Formulas!U182=0,Formulas!U182=""),"",HYPERLINK("["&amp;Archivo_Nombre&amp;"]Datos!"&amp;LEFT(SUBSTITUTE(ADDRESS(1,Formulas!U182+2),"$",""))&amp;Formulas!T182+1,
IFERROR(INDEX(Datos!$A$2:$K$102,Formulas!T182,Formulas!U182+2),"")))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21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IFERROR(INDEX(Datos!$A$2:$K$102,Formulas!X181,RIGHT(Formulas!Z181)+2),"")))</f>
        <v/>
      </c>
      <c r="Y184" s="121" t="str" cm="1">
        <f t="array" aca="1" ref="Y184" ca="1">IF(OR(Formulas!Z182=0,Formulas!Z182=""),"",HYPERLINK("["&amp;Archivo_Nombre&amp;"]Datos!"&amp;LEFT(SUBSTITUTE(ADDRESS(1,Formulas!Z182+2),"$",""))&amp;Formulas!Y182+1,
IFERROR(INDEX(Datos!$A$2:$K$102,Formulas!Y182,Formulas!Z182+2),"")))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21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IFERROR(INDEX(Datos!$A$2:$K$102,Formulas!AC181,RIGHT(Formulas!AE181)+2),"")))</f>
        <v/>
      </c>
      <c r="AD184" s="121" t="str" cm="1">
        <f t="array" aca="1" ref="AD184" ca="1">IF(OR(Formulas!AE182=0,Formulas!AE182=""),"",HYPERLINK("["&amp;Archivo_Nombre&amp;"]Datos!"&amp;LEFT(SUBSTITUTE(ADDRESS(1,Formulas!AE182+2),"$",""))&amp;Formulas!AD182+1,
IFERROR(INDEX(Datos!$A$2:$K$102,Formulas!AD182,Formulas!AE182+2),"")))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21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IFERROR(INDEX(Datos!$A$2:$K$102,Formulas!AH181,RIGHT(Formulas!AJ181)+2),"")))</f>
        <v/>
      </c>
      <c r="AI184" s="121" t="str" cm="1">
        <f t="array" aca="1" ref="AI184" ca="1">IF(OR(Formulas!AJ182=0,Formulas!AJ182=""),"",HYPERLINK("["&amp;Archivo_Nombre&amp;"]Datos!"&amp;LEFT(SUBSTITUTE(ADDRESS(1,Formulas!AJ182+2),"$",""))&amp;Formulas!AI182+1,
IFERROR(INDEX(Datos!$A$2:$K$102,Formulas!AI182,Formulas!AJ182+2),"")))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21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IFERROR(INDEX(Datos!$A$2:$K$102,Formulas!AM181,RIGHT(Formulas!AO181)+2),"")))</f>
        <v/>
      </c>
      <c r="AN184" s="121" t="str" cm="1">
        <f t="array" aca="1" ref="AN184" ca="1">IF(OR(Formulas!AO182=0,Formulas!AO182=""),"",HYPERLINK("["&amp;Archivo_Nombre&amp;"]Datos!"&amp;LEFT(SUBSTITUTE(ADDRESS(1,Formulas!AO182+2),"$",""))&amp;Formulas!AN182+1,
IFERROR(INDEX(Datos!$A$2:$K$102,Formulas!AN182,Formulas!AO182+2),"")))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21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IFERROR(INDEX(Datos!$A$2:$K$102,Formulas!AR181,RIGHT(Formulas!AT181)+2),"")))</f>
        <v/>
      </c>
      <c r="AS184" s="121" t="str" cm="1">
        <f t="array" aca="1" ref="AS184" ca="1">IF(OR(Formulas!AT182=0,Formulas!AT182=""),"",HYPERLINK("["&amp;Archivo_Nombre&amp;"]Datos!"&amp;LEFT(SUBSTITUTE(ADDRESS(1,Formulas!AT182+2),"$",""))&amp;Formulas!AS182+1,
IFERROR(INDEX(Datos!$A$2:$K$102,Formulas!AS182,Formulas!AT182+2),"")))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21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IFERROR(INDEX(Datos!$A$2:$K$102,Formulas!AW181,RIGHT(Formulas!AY181)+2),"")))</f>
        <v/>
      </c>
      <c r="AX184" s="121" t="str" cm="1">
        <f t="array" aca="1" ref="AX184" ca="1">IF(OR(Formulas!AY182=0,Formulas!AY182=""),"",HYPERLINK("["&amp;Archivo_Nombre&amp;"]Datos!"&amp;LEFT(SUBSTITUTE(ADDRESS(1,Formulas!AY182+2),"$",""))&amp;Formulas!AX182+1,
IFERROR(INDEX(Datos!$A$2:$K$102,Formulas!AX182,Formulas!AY182+2),"")))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21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IFERROR(INDEX(Datos!$A$2:$K$102,Formulas!D182,RIGHT(Formulas!F182)+2),"")))</f>
        <v/>
      </c>
      <c r="E185" s="121" t="str" cm="1">
        <f t="array" aca="1" ref="E185" ca="1">IF(OR(Formulas!F183=0,Formulas!F183=""),"",HYPERLINK("["&amp;Archivo_Nombre&amp;"]Datos!"&amp;LEFT(SUBSTITUTE(ADDRESS(1,Formulas!F183+2),"$",""))&amp;Formulas!E183+1,
IFERROR(INDEX(Datos!$A$2:$K$102,Formulas!E183,Formulas!F183+2),"")))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21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IFERROR(INDEX(Datos!$A$2:$K$102,Formulas!I182,RIGHT(Formulas!K182)+2),"")))</f>
        <v/>
      </c>
      <c r="J185" s="121" t="str" cm="1">
        <f t="array" aca="1" ref="J185" ca="1">IF(OR(Formulas!K183=0,Formulas!K183=""),"",HYPERLINK("["&amp;Archivo_Nombre&amp;"]Datos!"&amp;LEFT(SUBSTITUTE(ADDRESS(1,Formulas!K183+2),"$",""))&amp;Formulas!J183+1,
IFERROR(INDEX(Datos!$A$2:$K$102,Formulas!J183,Formulas!K183+2),"")))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21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IFERROR(INDEX(Datos!$A$2:$K$102,Formulas!N182,RIGHT(Formulas!P182)+2),"")))</f>
        <v/>
      </c>
      <c r="O185" s="121" t="str" cm="1">
        <f t="array" aca="1" ref="O185" ca="1">IF(OR(Formulas!P183=0,Formulas!P183=""),"",HYPERLINK("["&amp;Archivo_Nombre&amp;"]Datos!"&amp;LEFT(SUBSTITUTE(ADDRESS(1,Formulas!P183+2),"$",""))&amp;Formulas!O183+1,
IFERROR(INDEX(Datos!$A$2:$K$102,Formulas!O183,Formulas!P183+2),"")))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21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IFERROR(INDEX(Datos!$A$2:$K$102,Formulas!S182,RIGHT(Formulas!U182)+2),"")))</f>
        <v/>
      </c>
      <c r="T185" s="121" t="e" cm="1">
        <f t="array" aca="1" ref="T185" ca="1">IF(OR(Formulas!U183=0,Formulas!U183=""),"",HYPERLINK("["&amp;Archivo_Nombre&amp;"]Datos!"&amp;LEFT(SUBSTITUTE(ADDRESS(1,Formulas!U183+2),"$",""))&amp;Formulas!T183+1,
IFERROR(INDEX(Datos!$A$2:$K$102,Formulas!T183,Formulas!U183+2),"")))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21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IFERROR(INDEX(Datos!$A$2:$K$102,Formulas!X182,RIGHT(Formulas!Z182)+2),"")))</f>
        <v/>
      </c>
      <c r="Y185" s="121" t="str" cm="1">
        <f t="array" aca="1" ref="Y185" ca="1">IF(OR(Formulas!Z183=0,Formulas!Z183=""),"",HYPERLINK("["&amp;Archivo_Nombre&amp;"]Datos!"&amp;LEFT(SUBSTITUTE(ADDRESS(1,Formulas!Z183+2),"$",""))&amp;Formulas!Y183+1,
IFERROR(INDEX(Datos!$A$2:$K$102,Formulas!Y183,Formulas!Z183+2),"")))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21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IFERROR(INDEX(Datos!$A$2:$K$102,Formulas!AC182,RIGHT(Formulas!AE182)+2),"")))</f>
        <v/>
      </c>
      <c r="AD185" s="121" t="str" cm="1">
        <f t="array" aca="1" ref="AD185" ca="1">IF(OR(Formulas!AE183=0,Formulas!AE183=""),"",HYPERLINK("["&amp;Archivo_Nombre&amp;"]Datos!"&amp;LEFT(SUBSTITUTE(ADDRESS(1,Formulas!AE183+2),"$",""))&amp;Formulas!AD183+1,
IFERROR(INDEX(Datos!$A$2:$K$102,Formulas!AD183,Formulas!AE183+2),"")))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21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IFERROR(INDEX(Datos!$A$2:$K$102,Formulas!AH182,RIGHT(Formulas!AJ182)+2),"")))</f>
        <v/>
      </c>
      <c r="AI185" s="121" t="str" cm="1">
        <f t="array" aca="1" ref="AI185" ca="1">IF(OR(Formulas!AJ183=0,Formulas!AJ183=""),"",HYPERLINK("["&amp;Archivo_Nombre&amp;"]Datos!"&amp;LEFT(SUBSTITUTE(ADDRESS(1,Formulas!AJ183+2),"$",""))&amp;Formulas!AI183+1,
IFERROR(INDEX(Datos!$A$2:$K$102,Formulas!AI183,Formulas!AJ183+2),"")))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21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IFERROR(INDEX(Datos!$A$2:$K$102,Formulas!AM182,RIGHT(Formulas!AO182)+2),"")))</f>
        <v/>
      </c>
      <c r="AN185" s="121" t="str" cm="1">
        <f t="array" aca="1" ref="AN185" ca="1">IF(OR(Formulas!AO183=0,Formulas!AO183=""),"",HYPERLINK("["&amp;Archivo_Nombre&amp;"]Datos!"&amp;LEFT(SUBSTITUTE(ADDRESS(1,Formulas!AO183+2),"$",""))&amp;Formulas!AN183+1,
IFERROR(INDEX(Datos!$A$2:$K$102,Formulas!AN183,Formulas!AO183+2),"")))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21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IFERROR(INDEX(Datos!$A$2:$K$102,Formulas!AR182,RIGHT(Formulas!AT182)+2),"")))</f>
        <v/>
      </c>
      <c r="AS185" s="121" t="str" cm="1">
        <f t="array" aca="1" ref="AS185" ca="1">IF(OR(Formulas!AT183=0,Formulas!AT183=""),"",HYPERLINK("["&amp;Archivo_Nombre&amp;"]Datos!"&amp;LEFT(SUBSTITUTE(ADDRESS(1,Formulas!AT183+2),"$",""))&amp;Formulas!AS183+1,
IFERROR(INDEX(Datos!$A$2:$K$102,Formulas!AS183,Formulas!AT183+2),"")))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21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IFERROR(INDEX(Datos!$A$2:$K$102,Formulas!AW182,RIGHT(Formulas!AY182)+2),"")))</f>
        <v/>
      </c>
      <c r="AX185" s="121" t="str" cm="1">
        <f t="array" aca="1" ref="AX185" ca="1">IF(OR(Formulas!AY183=0,Formulas!AY183=""),"",HYPERLINK("["&amp;Archivo_Nombre&amp;"]Datos!"&amp;LEFT(SUBSTITUTE(ADDRESS(1,Formulas!AY183+2),"$",""))&amp;Formulas!AX183+1,
IFERROR(INDEX(Datos!$A$2:$K$102,Formulas!AX183,Formulas!AY183+2),"")))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21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IFERROR(INDEX(Datos!$A$2:$K$102,Formulas!D183,RIGHT(Formulas!F183)+2),"")))</f>
        <v/>
      </c>
      <c r="E186" s="121" t="str" cm="1">
        <f t="array" aca="1" ref="E186" ca="1">IF(OR(Formulas!F184=0,Formulas!F184=""),"",HYPERLINK("["&amp;Archivo_Nombre&amp;"]Datos!"&amp;LEFT(SUBSTITUTE(ADDRESS(1,Formulas!F184+2),"$",""))&amp;Formulas!E184+1,
IFERROR(INDEX(Datos!$A$2:$K$102,Formulas!E184,Formulas!F184+2),"")))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21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IFERROR(INDEX(Datos!$A$2:$K$102,Formulas!I183,RIGHT(Formulas!K183)+2),"")))</f>
        <v/>
      </c>
      <c r="J186" s="121" t="str" cm="1">
        <f t="array" aca="1" ref="J186" ca="1">IF(OR(Formulas!K184=0,Formulas!K184=""),"",HYPERLINK("["&amp;Archivo_Nombre&amp;"]Datos!"&amp;LEFT(SUBSTITUTE(ADDRESS(1,Formulas!K184+2),"$",""))&amp;Formulas!J184+1,
IFERROR(INDEX(Datos!$A$2:$K$102,Formulas!J184,Formulas!K184+2),"")))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21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IFERROR(INDEX(Datos!$A$2:$K$102,Formulas!N183,RIGHT(Formulas!P183)+2),"")))</f>
        <v/>
      </c>
      <c r="O186" s="121" t="str" cm="1">
        <f t="array" aca="1" ref="O186" ca="1">IF(OR(Formulas!P184=0,Formulas!P184=""),"",HYPERLINK("["&amp;Archivo_Nombre&amp;"]Datos!"&amp;LEFT(SUBSTITUTE(ADDRESS(1,Formulas!P184+2),"$",""))&amp;Formulas!O184+1,
IFERROR(INDEX(Datos!$A$2:$K$102,Formulas!O184,Formulas!P184+2),"")))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38:</v>
      </c>
      <c r="S186" s="121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IFERROR(INDEX(Datos!$A$2:$K$102,Formulas!S183,RIGHT(Formulas!U183)+2),"")))</f>
        <v>REQ004-2 Diseñar e implementar la barra de búsqueda con filtros</v>
      </c>
      <c r="T186" s="121" t="e" cm="1">
        <f t="array" aca="1" ref="T186" ca="1">IF(OR(Formulas!U184=0,Formulas!U184=""),"",HYPERLINK("["&amp;Archivo_Nombre&amp;"]Datos!"&amp;LEFT(SUBSTITUTE(ADDRESS(1,Formulas!U184+2),"$",""))&amp;Formulas!T184+1,
IFERROR(INDEX(Datos!$A$2:$K$102,Formulas!T184,Formulas!U184+2),"")))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21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IFERROR(INDEX(Datos!$A$2:$K$102,Formulas!X183,RIGHT(Formulas!Z183)+2),"")))</f>
        <v/>
      </c>
      <c r="Y186" s="121" t="str" cm="1">
        <f t="array" aca="1" ref="Y186" ca="1">IF(OR(Formulas!Z184=0,Formulas!Z184=""),"",HYPERLINK("["&amp;Archivo_Nombre&amp;"]Datos!"&amp;LEFT(SUBSTITUTE(ADDRESS(1,Formulas!Z184+2),"$",""))&amp;Formulas!Y184+1,
IFERROR(INDEX(Datos!$A$2:$K$102,Formulas!Y184,Formulas!Z184+2),"")))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21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IFERROR(INDEX(Datos!$A$2:$K$102,Formulas!AC183,RIGHT(Formulas!AE183)+2),"")))</f>
        <v/>
      </c>
      <c r="AD186" s="121" t="str" cm="1">
        <f t="array" aca="1" ref="AD186" ca="1">IF(OR(Formulas!AE184=0,Formulas!AE184=""),"",HYPERLINK("["&amp;Archivo_Nombre&amp;"]Datos!"&amp;LEFT(SUBSTITUTE(ADDRESS(1,Formulas!AE184+2),"$",""))&amp;Formulas!AD184+1,
IFERROR(INDEX(Datos!$A$2:$K$102,Formulas!AD184,Formulas!AE184+2),"")))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21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IFERROR(INDEX(Datos!$A$2:$K$102,Formulas!AH183,RIGHT(Formulas!AJ183)+2),"")))</f>
        <v/>
      </c>
      <c r="AI186" s="121" t="str" cm="1">
        <f t="array" aca="1" ref="AI186" ca="1">IF(OR(Formulas!AJ184=0,Formulas!AJ184=""),"",HYPERLINK("["&amp;Archivo_Nombre&amp;"]Datos!"&amp;LEFT(SUBSTITUTE(ADDRESS(1,Formulas!AJ184+2),"$",""))&amp;Formulas!AI184+1,
IFERROR(INDEX(Datos!$A$2:$K$102,Formulas!AI184,Formulas!AJ184+2),"")))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21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IFERROR(INDEX(Datos!$A$2:$K$102,Formulas!AM183,RIGHT(Formulas!AO183)+2),"")))</f>
        <v/>
      </c>
      <c r="AN186" s="121" t="str" cm="1">
        <f t="array" aca="1" ref="AN186" ca="1">IF(OR(Formulas!AO184=0,Formulas!AO184=""),"",HYPERLINK("["&amp;Archivo_Nombre&amp;"]Datos!"&amp;LEFT(SUBSTITUTE(ADDRESS(1,Formulas!AO184+2),"$",""))&amp;Formulas!AN184+1,
IFERROR(INDEX(Datos!$A$2:$K$102,Formulas!AN184,Formulas!AO184+2),"")))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21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IFERROR(INDEX(Datos!$A$2:$K$102,Formulas!AR183,RIGHT(Formulas!AT183)+2),"")))</f>
        <v/>
      </c>
      <c r="AS186" s="121" t="str" cm="1">
        <f t="array" aca="1" ref="AS186" ca="1">IF(OR(Formulas!AT184=0,Formulas!AT184=""),"",HYPERLINK("["&amp;Archivo_Nombre&amp;"]Datos!"&amp;LEFT(SUBSTITUTE(ADDRESS(1,Formulas!AT184+2),"$",""))&amp;Formulas!AS184+1,
IFERROR(INDEX(Datos!$A$2:$K$102,Formulas!AS184,Formulas!AT184+2),"")))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21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IFERROR(INDEX(Datos!$A$2:$K$102,Formulas!AW183,RIGHT(Formulas!AY183)+2),"")))</f>
        <v/>
      </c>
      <c r="AX186" s="121" t="str" cm="1">
        <f t="array" aca="1" ref="AX186" ca="1">IF(OR(Formulas!AY184=0,Formulas!AY184=""),"",HYPERLINK("["&amp;Archivo_Nombre&amp;"]Datos!"&amp;LEFT(SUBSTITUTE(ADDRESS(1,Formulas!AY184+2),"$",""))&amp;Formulas!AX184+1,
IFERROR(INDEX(Datos!$A$2:$K$102,Formulas!AX184,Formulas!AY184+2),"")))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21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IFERROR(INDEX(Datos!$A$2:$K$102,Formulas!D184,RIGHT(Formulas!F184)+2),"")))</f>
        <v/>
      </c>
      <c r="E187" s="121" t="str" cm="1">
        <f t="array" aca="1" ref="E187" ca="1">IF(OR(Formulas!F185=0,Formulas!F185=""),"",HYPERLINK("["&amp;Archivo_Nombre&amp;"]Datos!"&amp;LEFT(SUBSTITUTE(ADDRESS(1,Formulas!F185+2),"$",""))&amp;Formulas!E185+1,
IFERROR(INDEX(Datos!$A$2:$K$102,Formulas!E185,Formulas!F185+2),"")))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21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IFERROR(INDEX(Datos!$A$2:$K$102,Formulas!I184,RIGHT(Formulas!K184)+2),"")))</f>
        <v/>
      </c>
      <c r="J187" s="121" t="str" cm="1">
        <f t="array" aca="1" ref="J187" ca="1">IF(OR(Formulas!K185=0,Formulas!K185=""),"",HYPERLINK("["&amp;Archivo_Nombre&amp;"]Datos!"&amp;LEFT(SUBSTITUTE(ADDRESS(1,Formulas!K185+2),"$",""))&amp;Formulas!J185+1,
IFERROR(INDEX(Datos!$A$2:$K$102,Formulas!J185,Formulas!K185+2),"")))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21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IFERROR(INDEX(Datos!$A$2:$K$102,Formulas!N184,RIGHT(Formulas!P184)+2),"")))</f>
        <v/>
      </c>
      <c r="O187" s="121" t="str" cm="1">
        <f t="array" aca="1" ref="O187" ca="1">IF(OR(Formulas!P185=0,Formulas!P185=""),"",HYPERLINK("["&amp;Archivo_Nombre&amp;"]Datos!"&amp;LEFT(SUBSTITUTE(ADDRESS(1,Formulas!P185+2),"$",""))&amp;Formulas!O185+1,
IFERROR(INDEX(Datos!$A$2:$K$102,Formulas!O185,Formulas!P185+2),"")))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21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IFERROR(INDEX(Datos!$A$2:$K$102,Formulas!S184,RIGHT(Formulas!U184)+2),"")))</f>
        <v>Diseñar barra de búsqueda con filtros.</v>
      </c>
      <c r="T187" s="121" t="e" cm="1">
        <f t="array" aca="1" ref="T187" ca="1">IF(OR(Formulas!U185=0,Formulas!U185=""),"",HYPERLINK("["&amp;Archivo_Nombre&amp;"]Datos!"&amp;LEFT(SUBSTITUTE(ADDRESS(1,Formulas!U185+2),"$",""))&amp;Formulas!T185+1,
IFERROR(INDEX(Datos!$A$2:$K$102,Formulas!T185,Formulas!U185+2),"")))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21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IFERROR(INDEX(Datos!$A$2:$K$102,Formulas!X184,RIGHT(Formulas!Z184)+2),"")))</f>
        <v/>
      </c>
      <c r="Y187" s="121" t="str" cm="1">
        <f t="array" aca="1" ref="Y187" ca="1">IF(OR(Formulas!Z185=0,Formulas!Z185=""),"",HYPERLINK("["&amp;Archivo_Nombre&amp;"]Datos!"&amp;LEFT(SUBSTITUTE(ADDRESS(1,Formulas!Z185+2),"$",""))&amp;Formulas!Y185+1,
IFERROR(INDEX(Datos!$A$2:$K$102,Formulas!Y185,Formulas!Z185+2),"")))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21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IFERROR(INDEX(Datos!$A$2:$K$102,Formulas!AC184,RIGHT(Formulas!AE184)+2),"")))</f>
        <v/>
      </c>
      <c r="AD187" s="121" t="str" cm="1">
        <f t="array" aca="1" ref="AD187" ca="1">IF(OR(Formulas!AE185=0,Formulas!AE185=""),"",HYPERLINK("["&amp;Archivo_Nombre&amp;"]Datos!"&amp;LEFT(SUBSTITUTE(ADDRESS(1,Formulas!AE185+2),"$",""))&amp;Formulas!AD185+1,
IFERROR(INDEX(Datos!$A$2:$K$102,Formulas!AD185,Formulas!AE185+2),"")))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21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IFERROR(INDEX(Datos!$A$2:$K$102,Formulas!AH184,RIGHT(Formulas!AJ184)+2),"")))</f>
        <v/>
      </c>
      <c r="AI187" s="121" t="str" cm="1">
        <f t="array" aca="1" ref="AI187" ca="1">IF(OR(Formulas!AJ185=0,Formulas!AJ185=""),"",HYPERLINK("["&amp;Archivo_Nombre&amp;"]Datos!"&amp;LEFT(SUBSTITUTE(ADDRESS(1,Formulas!AJ185+2),"$",""))&amp;Formulas!AI185+1,
IFERROR(INDEX(Datos!$A$2:$K$102,Formulas!AI185,Formulas!AJ185+2),"")))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21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IFERROR(INDEX(Datos!$A$2:$K$102,Formulas!AM184,RIGHT(Formulas!AO184)+2),"")))</f>
        <v/>
      </c>
      <c r="AN187" s="121" t="str" cm="1">
        <f t="array" aca="1" ref="AN187" ca="1">IF(OR(Formulas!AO185=0,Formulas!AO185=""),"",HYPERLINK("["&amp;Archivo_Nombre&amp;"]Datos!"&amp;LEFT(SUBSTITUTE(ADDRESS(1,Formulas!AO185+2),"$",""))&amp;Formulas!AN185+1,
IFERROR(INDEX(Datos!$A$2:$K$102,Formulas!AN185,Formulas!AO185+2),"")))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21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IFERROR(INDEX(Datos!$A$2:$K$102,Formulas!AR184,RIGHT(Formulas!AT184)+2),"")))</f>
        <v/>
      </c>
      <c r="AS187" s="121" t="str" cm="1">
        <f t="array" aca="1" ref="AS187" ca="1">IF(OR(Formulas!AT185=0,Formulas!AT185=""),"",HYPERLINK("["&amp;Archivo_Nombre&amp;"]Datos!"&amp;LEFT(SUBSTITUTE(ADDRESS(1,Formulas!AT185+2),"$",""))&amp;Formulas!AS185+1,
IFERROR(INDEX(Datos!$A$2:$K$102,Formulas!AS185,Formulas!AT185+2),"")))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21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IFERROR(INDEX(Datos!$A$2:$K$102,Formulas!AW184,RIGHT(Formulas!AY184)+2),"")))</f>
        <v/>
      </c>
      <c r="AX187" s="121" t="str" cm="1">
        <f t="array" aca="1" ref="AX187" ca="1">IF(OR(Formulas!AY185=0,Formulas!AY185=""),"",HYPERLINK("["&amp;Archivo_Nombre&amp;"]Datos!"&amp;LEFT(SUBSTITUTE(ADDRESS(1,Formulas!AY185+2),"$",""))&amp;Formulas!AX185+1,
IFERROR(INDEX(Datos!$A$2:$K$102,Formulas!AX185,Formulas!AY185+2),"")))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21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IFERROR(INDEX(Datos!$A$2:$K$102,Formulas!D185,RIGHT(Formulas!F185)+2),"")))</f>
        <v/>
      </c>
      <c r="E188" s="121" t="str" cm="1">
        <f t="array" aca="1" ref="E188" ca="1">IF(OR(Formulas!F186=0,Formulas!F186=""),"",HYPERLINK("["&amp;Archivo_Nombre&amp;"]Datos!"&amp;LEFT(SUBSTITUTE(ADDRESS(1,Formulas!F186+2),"$",""))&amp;Formulas!E186+1,
IFERROR(INDEX(Datos!$A$2:$K$102,Formulas!E186,Formulas!F186+2),"")))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21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IFERROR(INDEX(Datos!$A$2:$K$102,Formulas!I185,RIGHT(Formulas!K185)+2),"")))</f>
        <v/>
      </c>
      <c r="J188" s="121" t="str" cm="1">
        <f t="array" aca="1" ref="J188" ca="1">IF(OR(Formulas!K186=0,Formulas!K186=""),"",HYPERLINK("["&amp;Archivo_Nombre&amp;"]Datos!"&amp;LEFT(SUBSTITUTE(ADDRESS(1,Formulas!K186+2),"$",""))&amp;Formulas!J186+1,
IFERROR(INDEX(Datos!$A$2:$K$102,Formulas!J186,Formulas!K186+2),"")))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21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IFERROR(INDEX(Datos!$A$2:$K$102,Formulas!N185,RIGHT(Formulas!P185)+2),"")))</f>
        <v/>
      </c>
      <c r="O188" s="121" t="str" cm="1">
        <f t="array" aca="1" ref="O188" ca="1">IF(OR(Formulas!P186=0,Formulas!P186=""),"",HYPERLINK("["&amp;Archivo_Nombre&amp;"]Datos!"&amp;LEFT(SUBSTITUTE(ADDRESS(1,Formulas!P186+2),"$",""))&amp;Formulas!O186+1,
IFERROR(INDEX(Datos!$A$2:$K$102,Formulas!O186,Formulas!P186+2),"")))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21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IFERROR(INDEX(Datos!$A$2:$K$102,Formulas!S185,RIGHT(Formulas!U185)+2),"")))</f>
        <v>45848</v>
      </c>
      <c r="T188" s="121" t="e" cm="1">
        <f t="array" aca="1" ref="T188" ca="1">IF(OR(Formulas!U186=0,Formulas!U186=""),"",HYPERLINK("["&amp;Archivo_Nombre&amp;"]Datos!"&amp;LEFT(SUBSTITUTE(ADDRESS(1,Formulas!U186+2),"$",""))&amp;Formulas!T186+1,
IFERROR(INDEX(Datos!$A$2:$K$102,Formulas!T186,Formulas!U186+2),"")))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21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IFERROR(INDEX(Datos!$A$2:$K$102,Formulas!X185,RIGHT(Formulas!Z185)+2),"")))</f>
        <v/>
      </c>
      <c r="Y188" s="121" t="str" cm="1">
        <f t="array" aca="1" ref="Y188" ca="1">IF(OR(Formulas!Z186=0,Formulas!Z186=""),"",HYPERLINK("["&amp;Archivo_Nombre&amp;"]Datos!"&amp;LEFT(SUBSTITUTE(ADDRESS(1,Formulas!Z186+2),"$",""))&amp;Formulas!Y186+1,
IFERROR(INDEX(Datos!$A$2:$K$102,Formulas!Y186,Formulas!Z186+2),"")))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21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IFERROR(INDEX(Datos!$A$2:$K$102,Formulas!AC185,RIGHT(Formulas!AE185)+2),"")))</f>
        <v/>
      </c>
      <c r="AD188" s="121" t="str" cm="1">
        <f t="array" aca="1" ref="AD188" ca="1">IF(OR(Formulas!AE186=0,Formulas!AE186=""),"",HYPERLINK("["&amp;Archivo_Nombre&amp;"]Datos!"&amp;LEFT(SUBSTITUTE(ADDRESS(1,Formulas!AE186+2),"$",""))&amp;Formulas!AD186+1,
IFERROR(INDEX(Datos!$A$2:$K$102,Formulas!AD186,Formulas!AE186+2),"")))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21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IFERROR(INDEX(Datos!$A$2:$K$102,Formulas!AH185,RIGHT(Formulas!AJ185)+2),"")))</f>
        <v/>
      </c>
      <c r="AI188" s="121" t="str" cm="1">
        <f t="array" aca="1" ref="AI188" ca="1">IF(OR(Formulas!AJ186=0,Formulas!AJ186=""),"",HYPERLINK("["&amp;Archivo_Nombre&amp;"]Datos!"&amp;LEFT(SUBSTITUTE(ADDRESS(1,Formulas!AJ186+2),"$",""))&amp;Formulas!AI186+1,
IFERROR(INDEX(Datos!$A$2:$K$102,Formulas!AI186,Formulas!AJ186+2),"")))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21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IFERROR(INDEX(Datos!$A$2:$K$102,Formulas!AM185,RIGHT(Formulas!AO185)+2),"")))</f>
        <v/>
      </c>
      <c r="AN188" s="121" t="str" cm="1">
        <f t="array" aca="1" ref="AN188" ca="1">IF(OR(Formulas!AO186=0,Formulas!AO186=""),"",HYPERLINK("["&amp;Archivo_Nombre&amp;"]Datos!"&amp;LEFT(SUBSTITUTE(ADDRESS(1,Formulas!AO186+2),"$",""))&amp;Formulas!AN186+1,
IFERROR(INDEX(Datos!$A$2:$K$102,Formulas!AN186,Formulas!AO186+2),"")))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21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IFERROR(INDEX(Datos!$A$2:$K$102,Formulas!AR185,RIGHT(Formulas!AT185)+2),"")))</f>
        <v/>
      </c>
      <c r="AS188" s="121" t="str" cm="1">
        <f t="array" aca="1" ref="AS188" ca="1">IF(OR(Formulas!AT186=0,Formulas!AT186=""),"",HYPERLINK("["&amp;Archivo_Nombre&amp;"]Datos!"&amp;LEFT(SUBSTITUTE(ADDRESS(1,Formulas!AT186+2),"$",""))&amp;Formulas!AS186+1,
IFERROR(INDEX(Datos!$A$2:$K$102,Formulas!AS186,Formulas!AT186+2),"")))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21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IFERROR(INDEX(Datos!$A$2:$K$102,Formulas!AW185,RIGHT(Formulas!AY185)+2),"")))</f>
        <v/>
      </c>
      <c r="AX188" s="121" t="str" cm="1">
        <f t="array" aca="1" ref="AX188" ca="1">IF(OR(Formulas!AY186=0,Formulas!AY186=""),"",HYPERLINK("["&amp;Archivo_Nombre&amp;"]Datos!"&amp;LEFT(SUBSTITUTE(ADDRESS(1,Formulas!AY186+2),"$",""))&amp;Formulas!AX186+1,
IFERROR(INDEX(Datos!$A$2:$K$102,Formulas!AX186,Formulas!AY186+2),"")))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21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IFERROR(INDEX(Datos!$A$2:$K$102,Formulas!D186,RIGHT(Formulas!F186)+2),"")))</f>
        <v/>
      </c>
      <c r="E189" s="121" t="str" cm="1">
        <f t="array" aca="1" ref="E189" ca="1">IF(OR(Formulas!F187=0,Formulas!F187=""),"",HYPERLINK("["&amp;Archivo_Nombre&amp;"]Datos!"&amp;LEFT(SUBSTITUTE(ADDRESS(1,Formulas!F187+2),"$",""))&amp;Formulas!E187+1,
IFERROR(INDEX(Datos!$A$2:$K$102,Formulas!E187,Formulas!F187+2),"")))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21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IFERROR(INDEX(Datos!$A$2:$K$102,Formulas!I186,RIGHT(Formulas!K186)+2),"")))</f>
        <v/>
      </c>
      <c r="J189" s="121" t="str" cm="1">
        <f t="array" aca="1" ref="J189" ca="1">IF(OR(Formulas!K187=0,Formulas!K187=""),"",HYPERLINK("["&amp;Archivo_Nombre&amp;"]Datos!"&amp;LEFT(SUBSTITUTE(ADDRESS(1,Formulas!K187+2),"$",""))&amp;Formulas!J187+1,
IFERROR(INDEX(Datos!$A$2:$K$102,Formulas!J187,Formulas!K187+2),"")))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21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IFERROR(INDEX(Datos!$A$2:$K$102,Formulas!N186,RIGHT(Formulas!P186)+2),"")))</f>
        <v/>
      </c>
      <c r="O189" s="121" t="str" cm="1">
        <f t="array" aca="1" ref="O189" ca="1">IF(OR(Formulas!P187=0,Formulas!P187=""),"",HYPERLINK("["&amp;Archivo_Nombre&amp;"]Datos!"&amp;LEFT(SUBSTITUTE(ADDRESS(1,Formulas!P187+2),"$",""))&amp;Formulas!O187+1,
IFERROR(INDEX(Datos!$A$2:$K$102,Formulas!O187,Formulas!P187+2),"")))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21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IFERROR(INDEX(Datos!$A$2:$K$102,Formulas!S186,RIGHT(Formulas!U186)+2),"")))</f>
        <v>45848</v>
      </c>
      <c r="T189" s="121" t="e" cm="1">
        <f t="array" aca="1" ref="T189" ca="1">IF(OR(Formulas!U187=0,Formulas!U187=""),"",HYPERLINK("["&amp;Archivo_Nombre&amp;"]Datos!"&amp;LEFT(SUBSTITUTE(ADDRESS(1,Formulas!U187+2),"$",""))&amp;Formulas!T187+1,
IFERROR(INDEX(Datos!$A$2:$K$102,Formulas!T187,Formulas!U187+2),"")))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21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IFERROR(INDEX(Datos!$A$2:$K$102,Formulas!X186,RIGHT(Formulas!Z186)+2),"")))</f>
        <v/>
      </c>
      <c r="Y189" s="121" t="str" cm="1">
        <f t="array" aca="1" ref="Y189" ca="1">IF(OR(Formulas!Z187=0,Formulas!Z187=""),"",HYPERLINK("["&amp;Archivo_Nombre&amp;"]Datos!"&amp;LEFT(SUBSTITUTE(ADDRESS(1,Formulas!Z187+2),"$",""))&amp;Formulas!Y187+1,
IFERROR(INDEX(Datos!$A$2:$K$102,Formulas!Y187,Formulas!Z187+2),"")))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21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IFERROR(INDEX(Datos!$A$2:$K$102,Formulas!AC186,RIGHT(Formulas!AE186)+2),"")))</f>
        <v/>
      </c>
      <c r="AD189" s="121" t="str" cm="1">
        <f t="array" aca="1" ref="AD189" ca="1">IF(OR(Formulas!AE187=0,Formulas!AE187=""),"",HYPERLINK("["&amp;Archivo_Nombre&amp;"]Datos!"&amp;LEFT(SUBSTITUTE(ADDRESS(1,Formulas!AE187+2),"$",""))&amp;Formulas!AD187+1,
IFERROR(INDEX(Datos!$A$2:$K$102,Formulas!AD187,Formulas!AE187+2),"")))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21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IFERROR(INDEX(Datos!$A$2:$K$102,Formulas!AH186,RIGHT(Formulas!AJ186)+2),"")))</f>
        <v/>
      </c>
      <c r="AI189" s="121" t="str" cm="1">
        <f t="array" aca="1" ref="AI189" ca="1">IF(OR(Formulas!AJ187=0,Formulas!AJ187=""),"",HYPERLINK("["&amp;Archivo_Nombre&amp;"]Datos!"&amp;LEFT(SUBSTITUTE(ADDRESS(1,Formulas!AJ187+2),"$",""))&amp;Formulas!AI187+1,
IFERROR(INDEX(Datos!$A$2:$K$102,Formulas!AI187,Formulas!AJ187+2),"")))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21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IFERROR(INDEX(Datos!$A$2:$K$102,Formulas!AM186,RIGHT(Formulas!AO186)+2),"")))</f>
        <v/>
      </c>
      <c r="AN189" s="121" t="str" cm="1">
        <f t="array" aca="1" ref="AN189" ca="1">IF(OR(Formulas!AO187=0,Formulas!AO187=""),"",HYPERLINK("["&amp;Archivo_Nombre&amp;"]Datos!"&amp;LEFT(SUBSTITUTE(ADDRESS(1,Formulas!AO187+2),"$",""))&amp;Formulas!AN187+1,
IFERROR(INDEX(Datos!$A$2:$K$102,Formulas!AN187,Formulas!AO187+2),"")))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21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IFERROR(INDEX(Datos!$A$2:$K$102,Formulas!AR186,RIGHT(Formulas!AT186)+2),"")))</f>
        <v/>
      </c>
      <c r="AS189" s="121" t="str" cm="1">
        <f t="array" aca="1" ref="AS189" ca="1">IF(OR(Formulas!AT187=0,Formulas!AT187=""),"",HYPERLINK("["&amp;Archivo_Nombre&amp;"]Datos!"&amp;LEFT(SUBSTITUTE(ADDRESS(1,Formulas!AT187+2),"$",""))&amp;Formulas!AS187+1,
IFERROR(INDEX(Datos!$A$2:$K$102,Formulas!AS187,Formulas!AT187+2),"")))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21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IFERROR(INDEX(Datos!$A$2:$K$102,Formulas!AW186,RIGHT(Formulas!AY186)+2),"")))</f>
        <v/>
      </c>
      <c r="AX189" s="121" t="str" cm="1">
        <f t="array" aca="1" ref="AX189" ca="1">IF(OR(Formulas!AY187=0,Formulas!AY187=""),"",HYPERLINK("["&amp;Archivo_Nombre&amp;"]Datos!"&amp;LEFT(SUBSTITUTE(ADDRESS(1,Formulas!AY187+2),"$",""))&amp;Formulas!AX187+1,
IFERROR(INDEX(Datos!$A$2:$K$102,Formulas!AX187,Formulas!AY187+2),"")))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21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IFERROR(INDEX(Datos!$A$2:$K$102,Formulas!D187,RIGHT(Formulas!F187)+2),"")))</f>
        <v/>
      </c>
      <c r="E190" s="121" t="str" cm="1">
        <f t="array" aca="1" ref="E190" ca="1">IF(OR(Formulas!F188=0,Formulas!F188=""),"",HYPERLINK("["&amp;Archivo_Nombre&amp;"]Datos!"&amp;LEFT(SUBSTITUTE(ADDRESS(1,Formulas!F188+2),"$",""))&amp;Formulas!E188+1,
IFERROR(INDEX(Datos!$A$2:$K$102,Formulas!E188,Formulas!F188+2),"")))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21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IFERROR(INDEX(Datos!$A$2:$K$102,Formulas!I187,RIGHT(Formulas!K187)+2),"")))</f>
        <v/>
      </c>
      <c r="J190" s="121" t="str" cm="1">
        <f t="array" aca="1" ref="J190" ca="1">IF(OR(Formulas!K188=0,Formulas!K188=""),"",HYPERLINK("["&amp;Archivo_Nombre&amp;"]Datos!"&amp;LEFT(SUBSTITUTE(ADDRESS(1,Formulas!K188+2),"$",""))&amp;Formulas!J188+1,
IFERROR(INDEX(Datos!$A$2:$K$102,Formulas!J188,Formulas!K188+2),"")))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21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IFERROR(INDEX(Datos!$A$2:$K$102,Formulas!N187,RIGHT(Formulas!P187)+2),"")))</f>
        <v/>
      </c>
      <c r="O190" s="121" t="str" cm="1">
        <f t="array" aca="1" ref="O190" ca="1">IF(OR(Formulas!P188=0,Formulas!P188=""),"",HYPERLINK("["&amp;Archivo_Nombre&amp;"]Datos!"&amp;LEFT(SUBSTITUTE(ADDRESS(1,Formulas!P188+2),"$",""))&amp;Formulas!O188+1,
IFERROR(INDEX(Datos!$A$2:$K$102,Formulas!O188,Formulas!P188+2),"")))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21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IFERROR(INDEX(Datos!$A$2:$K$102,Formulas!S187,RIGHT(Formulas!U187)+2),"")))</f>
        <v>45848</v>
      </c>
      <c r="T190" s="121" t="e" cm="1">
        <f t="array" aca="1" ref="T190" ca="1">IF(OR(Formulas!U188=0,Formulas!U188=""),"",HYPERLINK("["&amp;Archivo_Nombre&amp;"]Datos!"&amp;LEFT(SUBSTITUTE(ADDRESS(1,Formulas!U188+2),"$",""))&amp;Formulas!T188+1,
IFERROR(INDEX(Datos!$A$2:$K$102,Formulas!T188,Formulas!U188+2),"")))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21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IFERROR(INDEX(Datos!$A$2:$K$102,Formulas!X187,RIGHT(Formulas!Z187)+2),"")))</f>
        <v/>
      </c>
      <c r="Y190" s="121" t="str" cm="1">
        <f t="array" aca="1" ref="Y190" ca="1">IF(OR(Formulas!Z188=0,Formulas!Z188=""),"",HYPERLINK("["&amp;Archivo_Nombre&amp;"]Datos!"&amp;LEFT(SUBSTITUTE(ADDRESS(1,Formulas!Z188+2),"$",""))&amp;Formulas!Y188+1,
IFERROR(INDEX(Datos!$A$2:$K$102,Formulas!Y188,Formulas!Z188+2),"")))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21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IFERROR(INDEX(Datos!$A$2:$K$102,Formulas!AC187,RIGHT(Formulas!AE187)+2),"")))</f>
        <v/>
      </c>
      <c r="AD190" s="121" t="str" cm="1">
        <f t="array" aca="1" ref="AD190" ca="1">IF(OR(Formulas!AE188=0,Formulas!AE188=""),"",HYPERLINK("["&amp;Archivo_Nombre&amp;"]Datos!"&amp;LEFT(SUBSTITUTE(ADDRESS(1,Formulas!AE188+2),"$",""))&amp;Formulas!AD188+1,
IFERROR(INDEX(Datos!$A$2:$K$102,Formulas!AD188,Formulas!AE188+2),"")))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21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IFERROR(INDEX(Datos!$A$2:$K$102,Formulas!AH187,RIGHT(Formulas!AJ187)+2),"")))</f>
        <v/>
      </c>
      <c r="AI190" s="121" t="str" cm="1">
        <f t="array" aca="1" ref="AI190" ca="1">IF(OR(Formulas!AJ188=0,Formulas!AJ188=""),"",HYPERLINK("["&amp;Archivo_Nombre&amp;"]Datos!"&amp;LEFT(SUBSTITUTE(ADDRESS(1,Formulas!AJ188+2),"$",""))&amp;Formulas!AI188+1,
IFERROR(INDEX(Datos!$A$2:$K$102,Formulas!AI188,Formulas!AJ188+2),"")))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21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IFERROR(INDEX(Datos!$A$2:$K$102,Formulas!AM187,RIGHT(Formulas!AO187)+2),"")))</f>
        <v/>
      </c>
      <c r="AN190" s="121" t="str" cm="1">
        <f t="array" aca="1" ref="AN190" ca="1">IF(OR(Formulas!AO188=0,Formulas!AO188=""),"",HYPERLINK("["&amp;Archivo_Nombre&amp;"]Datos!"&amp;LEFT(SUBSTITUTE(ADDRESS(1,Formulas!AO188+2),"$",""))&amp;Formulas!AN188+1,
IFERROR(INDEX(Datos!$A$2:$K$102,Formulas!AN188,Formulas!AO188+2),"")))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21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IFERROR(INDEX(Datos!$A$2:$K$102,Formulas!AR187,RIGHT(Formulas!AT187)+2),"")))</f>
        <v/>
      </c>
      <c r="AS190" s="121" t="str" cm="1">
        <f t="array" aca="1" ref="AS190" ca="1">IF(OR(Formulas!AT188=0,Formulas!AT188=""),"",HYPERLINK("["&amp;Archivo_Nombre&amp;"]Datos!"&amp;LEFT(SUBSTITUTE(ADDRESS(1,Formulas!AT188+2),"$",""))&amp;Formulas!AS188+1,
IFERROR(INDEX(Datos!$A$2:$K$102,Formulas!AS188,Formulas!AT188+2),"")))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21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IFERROR(INDEX(Datos!$A$2:$K$102,Formulas!AW187,RIGHT(Formulas!AY187)+2),"")))</f>
        <v/>
      </c>
      <c r="AX190" s="121" t="str" cm="1">
        <f t="array" aca="1" ref="AX190" ca="1">IF(OR(Formulas!AY188=0,Formulas!AY188=""),"",HYPERLINK("["&amp;Archivo_Nombre&amp;"]Datos!"&amp;LEFT(SUBSTITUTE(ADDRESS(1,Formulas!AY188+2),"$",""))&amp;Formulas!AX188+1,
IFERROR(INDEX(Datos!$A$2:$K$102,Formulas!AX188,Formulas!AY188+2),"")))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21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IFERROR(INDEX(Datos!$A$2:$K$102,Formulas!D188,RIGHT(Formulas!F188)+2),"")))</f>
        <v/>
      </c>
      <c r="E191" s="121" t="str" cm="1">
        <f t="array" aca="1" ref="E191" ca="1">IF(OR(Formulas!F189=0,Formulas!F189=""),"",HYPERLINK("["&amp;Archivo_Nombre&amp;"]Datos!"&amp;LEFT(SUBSTITUTE(ADDRESS(1,Formulas!F189+2),"$",""))&amp;Formulas!E189+1,
IFERROR(INDEX(Datos!$A$2:$K$102,Formulas!E189,Formulas!F189+2),"")))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21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IFERROR(INDEX(Datos!$A$2:$K$102,Formulas!I188,RIGHT(Formulas!K188)+2),"")))</f>
        <v/>
      </c>
      <c r="J191" s="121" t="str" cm="1">
        <f t="array" aca="1" ref="J191" ca="1">IF(OR(Formulas!K189=0,Formulas!K189=""),"",HYPERLINK("["&amp;Archivo_Nombre&amp;"]Datos!"&amp;LEFT(SUBSTITUTE(ADDRESS(1,Formulas!K189+2),"$",""))&amp;Formulas!J189+1,
IFERROR(INDEX(Datos!$A$2:$K$102,Formulas!J189,Formulas!K189+2),"")))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21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IFERROR(INDEX(Datos!$A$2:$K$102,Formulas!N188,RIGHT(Formulas!P188)+2),"")))</f>
        <v/>
      </c>
      <c r="O191" s="121" t="str" cm="1">
        <f t="array" aca="1" ref="O191" ca="1">IF(OR(Formulas!P189=0,Formulas!P189=""),"",HYPERLINK("["&amp;Archivo_Nombre&amp;"]Datos!"&amp;LEFT(SUBSTITUTE(ADDRESS(1,Formulas!P189+2),"$",""))&amp;Formulas!O189+1,
IFERROR(INDEX(Datos!$A$2:$K$102,Formulas!O189,Formulas!P189+2),"")))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21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IFERROR(INDEX(Datos!$A$2:$K$102,Formulas!S188,RIGHT(Formulas!U188)+2),"")))</f>
        <v>1 días</v>
      </c>
      <c r="T191" s="121" t="e" cm="1">
        <f t="array" aca="1" ref="T191" ca="1">IF(OR(Formulas!U189=0,Formulas!U189=""),"",HYPERLINK("["&amp;Archivo_Nombre&amp;"]Datos!"&amp;LEFT(SUBSTITUTE(ADDRESS(1,Formulas!U189+2),"$",""))&amp;Formulas!T189+1,
IFERROR(INDEX(Datos!$A$2:$K$102,Formulas!T189,Formulas!U189+2),"")))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21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IFERROR(INDEX(Datos!$A$2:$K$102,Formulas!X188,RIGHT(Formulas!Z188)+2),"")))</f>
        <v/>
      </c>
      <c r="Y191" s="121" t="str" cm="1">
        <f t="array" aca="1" ref="Y191" ca="1">IF(OR(Formulas!Z189=0,Formulas!Z189=""),"",HYPERLINK("["&amp;Archivo_Nombre&amp;"]Datos!"&amp;LEFT(SUBSTITUTE(ADDRESS(1,Formulas!Z189+2),"$",""))&amp;Formulas!Y189+1,
IFERROR(INDEX(Datos!$A$2:$K$102,Formulas!Y189,Formulas!Z189+2),"")))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21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IFERROR(INDEX(Datos!$A$2:$K$102,Formulas!AC188,RIGHT(Formulas!AE188)+2),"")))</f>
        <v/>
      </c>
      <c r="AD191" s="121" t="str" cm="1">
        <f t="array" aca="1" ref="AD191" ca="1">IF(OR(Formulas!AE189=0,Formulas!AE189=""),"",HYPERLINK("["&amp;Archivo_Nombre&amp;"]Datos!"&amp;LEFT(SUBSTITUTE(ADDRESS(1,Formulas!AE189+2),"$",""))&amp;Formulas!AD189+1,
IFERROR(INDEX(Datos!$A$2:$K$102,Formulas!AD189,Formulas!AE189+2),"")))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21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IFERROR(INDEX(Datos!$A$2:$K$102,Formulas!AH188,RIGHT(Formulas!AJ188)+2),"")))</f>
        <v/>
      </c>
      <c r="AI191" s="121" t="str" cm="1">
        <f t="array" aca="1" ref="AI191" ca="1">IF(OR(Formulas!AJ189=0,Formulas!AJ189=""),"",HYPERLINK("["&amp;Archivo_Nombre&amp;"]Datos!"&amp;LEFT(SUBSTITUTE(ADDRESS(1,Formulas!AJ189+2),"$",""))&amp;Formulas!AI189+1,
IFERROR(INDEX(Datos!$A$2:$K$102,Formulas!AI189,Formulas!AJ189+2),"")))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21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IFERROR(INDEX(Datos!$A$2:$K$102,Formulas!AM188,RIGHT(Formulas!AO188)+2),"")))</f>
        <v/>
      </c>
      <c r="AN191" s="121" t="str" cm="1">
        <f t="array" aca="1" ref="AN191" ca="1">IF(OR(Formulas!AO189=0,Formulas!AO189=""),"",HYPERLINK("["&amp;Archivo_Nombre&amp;"]Datos!"&amp;LEFT(SUBSTITUTE(ADDRESS(1,Formulas!AO189+2),"$",""))&amp;Formulas!AN189+1,
IFERROR(INDEX(Datos!$A$2:$K$102,Formulas!AN189,Formulas!AO189+2),"")))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21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IFERROR(INDEX(Datos!$A$2:$K$102,Formulas!AR188,RIGHT(Formulas!AT188)+2),"")))</f>
        <v/>
      </c>
      <c r="AS191" s="121" t="str" cm="1">
        <f t="array" aca="1" ref="AS191" ca="1">IF(OR(Formulas!AT189=0,Formulas!AT189=""),"",HYPERLINK("["&amp;Archivo_Nombre&amp;"]Datos!"&amp;LEFT(SUBSTITUTE(ADDRESS(1,Formulas!AT189+2),"$",""))&amp;Formulas!AS189+1,
IFERROR(INDEX(Datos!$A$2:$K$102,Formulas!AS189,Formulas!AT189+2),"")))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21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IFERROR(INDEX(Datos!$A$2:$K$102,Formulas!AW188,RIGHT(Formulas!AY188)+2),"")))</f>
        <v/>
      </c>
      <c r="AX191" s="121" t="str" cm="1">
        <f t="array" aca="1" ref="AX191" ca="1">IF(OR(Formulas!AY189=0,Formulas!AY189=""),"",HYPERLINK("["&amp;Archivo_Nombre&amp;"]Datos!"&amp;LEFT(SUBSTITUTE(ADDRESS(1,Formulas!AY189+2),"$",""))&amp;Formulas!AX189+1,
IFERROR(INDEX(Datos!$A$2:$K$102,Formulas!AX189,Formulas!AY189+2),"")))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21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IFERROR(INDEX(Datos!$A$2:$K$102,Formulas!D189,RIGHT(Formulas!F189)+2),"")))</f>
        <v/>
      </c>
      <c r="E192" s="121" t="str" cm="1">
        <f t="array" aca="1" ref="E192" ca="1">IF(OR(Formulas!F190=0,Formulas!F190=""),"",HYPERLINK("["&amp;Archivo_Nombre&amp;"]Datos!"&amp;LEFT(SUBSTITUTE(ADDRESS(1,Formulas!F190+2),"$",""))&amp;Formulas!E190+1,
IFERROR(INDEX(Datos!$A$2:$K$102,Formulas!E190,Formulas!F190+2),"")))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21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IFERROR(INDEX(Datos!$A$2:$K$102,Formulas!I189,RIGHT(Formulas!K189)+2),"")))</f>
        <v/>
      </c>
      <c r="J192" s="121" t="str" cm="1">
        <f t="array" aca="1" ref="J192" ca="1">IF(OR(Formulas!K190=0,Formulas!K190=""),"",HYPERLINK("["&amp;Archivo_Nombre&amp;"]Datos!"&amp;LEFT(SUBSTITUTE(ADDRESS(1,Formulas!K190+2),"$",""))&amp;Formulas!J190+1,
IFERROR(INDEX(Datos!$A$2:$K$102,Formulas!J190,Formulas!K190+2),"")))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21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IFERROR(INDEX(Datos!$A$2:$K$102,Formulas!N189,RIGHT(Formulas!P189)+2),"")))</f>
        <v/>
      </c>
      <c r="O192" s="121" t="str" cm="1">
        <f t="array" aca="1" ref="O192" ca="1">IF(OR(Formulas!P190=0,Formulas!P190=""),"",HYPERLINK("["&amp;Archivo_Nombre&amp;"]Datos!"&amp;LEFT(SUBSTITUTE(ADDRESS(1,Formulas!P190+2),"$",""))&amp;Formulas!O190+1,
IFERROR(INDEX(Datos!$A$2:$K$102,Formulas!O190,Formulas!P190+2),"")))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21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IFERROR(INDEX(Datos!$A$2:$K$102,Formulas!S189,RIGHT(Formulas!U189)+2),"")))</f>
        <v>0 días</v>
      </c>
      <c r="T192" s="121" t="e" cm="1">
        <f t="array" aca="1" ref="T192" ca="1">IF(OR(Formulas!U190=0,Formulas!U190=""),"",HYPERLINK("["&amp;Archivo_Nombre&amp;"]Datos!"&amp;LEFT(SUBSTITUTE(ADDRESS(1,Formulas!U190+2),"$",""))&amp;Formulas!T190+1,
IFERROR(INDEX(Datos!$A$2:$K$102,Formulas!T190,Formulas!U190+2),"")))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21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IFERROR(INDEX(Datos!$A$2:$K$102,Formulas!X189,RIGHT(Formulas!Z189)+2),"")))</f>
        <v/>
      </c>
      <c r="Y192" s="121" t="str" cm="1">
        <f t="array" aca="1" ref="Y192" ca="1">IF(OR(Formulas!Z190=0,Formulas!Z190=""),"",HYPERLINK("["&amp;Archivo_Nombre&amp;"]Datos!"&amp;LEFT(SUBSTITUTE(ADDRESS(1,Formulas!Z190+2),"$",""))&amp;Formulas!Y190+1,
IFERROR(INDEX(Datos!$A$2:$K$102,Formulas!Y190,Formulas!Z190+2),"")))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21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IFERROR(INDEX(Datos!$A$2:$K$102,Formulas!AC189,RIGHT(Formulas!AE189)+2),"")))</f>
        <v/>
      </c>
      <c r="AD192" s="121" t="str" cm="1">
        <f t="array" aca="1" ref="AD192" ca="1">IF(OR(Formulas!AE190=0,Formulas!AE190=""),"",HYPERLINK("["&amp;Archivo_Nombre&amp;"]Datos!"&amp;LEFT(SUBSTITUTE(ADDRESS(1,Formulas!AE190+2),"$",""))&amp;Formulas!AD190+1,
IFERROR(INDEX(Datos!$A$2:$K$102,Formulas!AD190,Formulas!AE190+2),"")))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21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IFERROR(INDEX(Datos!$A$2:$K$102,Formulas!AH189,RIGHT(Formulas!AJ189)+2),"")))</f>
        <v/>
      </c>
      <c r="AI192" s="121" t="str" cm="1">
        <f t="array" aca="1" ref="AI192" ca="1">IF(OR(Formulas!AJ190=0,Formulas!AJ190=""),"",HYPERLINK("["&amp;Archivo_Nombre&amp;"]Datos!"&amp;LEFT(SUBSTITUTE(ADDRESS(1,Formulas!AJ190+2),"$",""))&amp;Formulas!AI190+1,
IFERROR(INDEX(Datos!$A$2:$K$102,Formulas!AI190,Formulas!AJ190+2),"")))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21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IFERROR(INDEX(Datos!$A$2:$K$102,Formulas!AM189,RIGHT(Formulas!AO189)+2),"")))</f>
        <v/>
      </c>
      <c r="AN192" s="121" t="str" cm="1">
        <f t="array" aca="1" ref="AN192" ca="1">IF(OR(Formulas!AO190=0,Formulas!AO190=""),"",HYPERLINK("["&amp;Archivo_Nombre&amp;"]Datos!"&amp;LEFT(SUBSTITUTE(ADDRESS(1,Formulas!AO190+2),"$",""))&amp;Formulas!AN190+1,
IFERROR(INDEX(Datos!$A$2:$K$102,Formulas!AN190,Formulas!AO190+2),"")))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21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IFERROR(INDEX(Datos!$A$2:$K$102,Formulas!AR189,RIGHT(Formulas!AT189)+2),"")))</f>
        <v/>
      </c>
      <c r="AS192" s="121" t="str" cm="1">
        <f t="array" aca="1" ref="AS192" ca="1">IF(OR(Formulas!AT190=0,Formulas!AT190=""),"",HYPERLINK("["&amp;Archivo_Nombre&amp;"]Datos!"&amp;LEFT(SUBSTITUTE(ADDRESS(1,Formulas!AT190+2),"$",""))&amp;Formulas!AS190+1,
IFERROR(INDEX(Datos!$A$2:$K$102,Formulas!AS190,Formulas!AT190+2),"")))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21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IFERROR(INDEX(Datos!$A$2:$K$102,Formulas!AW189,RIGHT(Formulas!AY189)+2),"")))</f>
        <v/>
      </c>
      <c r="AX192" s="121" t="str" cm="1">
        <f t="array" aca="1" ref="AX192" ca="1">IF(OR(Formulas!AY190=0,Formulas!AY190=""),"",HYPERLINK("["&amp;Archivo_Nombre&amp;"]Datos!"&amp;LEFT(SUBSTITUTE(ADDRESS(1,Formulas!AY190+2),"$",""))&amp;Formulas!AX190+1,
IFERROR(INDEX(Datos!$A$2:$K$102,Formulas!AX190,Formulas!AY190+2),"")))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21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IFERROR(INDEX(Datos!$A$2:$K$102,Formulas!D190,RIGHT(Formulas!F190)+2),"")))</f>
        <v/>
      </c>
      <c r="E193" s="121" t="str" cm="1">
        <f t="array" aca="1" ref="E193" ca="1">IF(OR(Formulas!F191=0,Formulas!F191=""),"",HYPERLINK("["&amp;Archivo_Nombre&amp;"]Datos!"&amp;LEFT(SUBSTITUTE(ADDRESS(1,Formulas!F191+2),"$",""))&amp;Formulas!E191+1,
IFERROR(INDEX(Datos!$A$2:$K$102,Formulas!E191,Formulas!F191+2),"")))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21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IFERROR(INDEX(Datos!$A$2:$K$102,Formulas!I190,RIGHT(Formulas!K190)+2),"")))</f>
        <v/>
      </c>
      <c r="J193" s="121" t="str" cm="1">
        <f t="array" aca="1" ref="J193" ca="1">IF(OR(Formulas!K191=0,Formulas!K191=""),"",HYPERLINK("["&amp;Archivo_Nombre&amp;"]Datos!"&amp;LEFT(SUBSTITUTE(ADDRESS(1,Formulas!K191+2),"$",""))&amp;Formulas!J191+1,
IFERROR(INDEX(Datos!$A$2:$K$102,Formulas!J191,Formulas!K191+2),"")))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21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IFERROR(INDEX(Datos!$A$2:$K$102,Formulas!N190,RIGHT(Formulas!P190)+2),"")))</f>
        <v/>
      </c>
      <c r="O193" s="121" t="str" cm="1">
        <f t="array" aca="1" ref="O193" ca="1">IF(OR(Formulas!P191=0,Formulas!P191=""),"",HYPERLINK("["&amp;Archivo_Nombre&amp;"]Datos!"&amp;LEFT(SUBSTITUTE(ADDRESS(1,Formulas!P191+2),"$",""))&amp;Formulas!O191+1,
IFERROR(INDEX(Datos!$A$2:$K$102,Formulas!O191,Formulas!P191+2),"")))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21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IFERROR(INDEX(Datos!$A$2:$K$102,Formulas!S190,RIGHT(Formulas!U190)+2),"")))</f>
        <v>Paulina Quishpe</v>
      </c>
      <c r="T193" s="121" t="str" cm="1">
        <f t="array" aca="1" ref="T193" ca="1">IF(OR(Formulas!U191=0,Formulas!U191=""),"",HYPERLINK("["&amp;Archivo_Nombre&amp;"]Datos!"&amp;LEFT(SUBSTITUTE(ADDRESS(1,Formulas!U191+2),"$",""))&amp;Formulas!T191+1,
IFERROR(INDEX(Datos!$A$2:$K$102,Formulas!T191,Formulas!U191+2),"")))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21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IFERROR(INDEX(Datos!$A$2:$K$102,Formulas!X190,RIGHT(Formulas!Z190)+2),"")))</f>
        <v/>
      </c>
      <c r="Y193" s="121" t="str" cm="1">
        <f t="array" aca="1" ref="Y193" ca="1">IF(OR(Formulas!Z191=0,Formulas!Z191=""),"",HYPERLINK("["&amp;Archivo_Nombre&amp;"]Datos!"&amp;LEFT(SUBSTITUTE(ADDRESS(1,Formulas!Z191+2),"$",""))&amp;Formulas!Y191+1,
IFERROR(INDEX(Datos!$A$2:$K$102,Formulas!Y191,Formulas!Z191+2),"")))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21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IFERROR(INDEX(Datos!$A$2:$K$102,Formulas!AC190,RIGHT(Formulas!AE190)+2),"")))</f>
        <v/>
      </c>
      <c r="AD193" s="121" t="str" cm="1">
        <f t="array" aca="1" ref="AD193" ca="1">IF(OR(Formulas!AE191=0,Formulas!AE191=""),"",HYPERLINK("["&amp;Archivo_Nombre&amp;"]Datos!"&amp;LEFT(SUBSTITUTE(ADDRESS(1,Formulas!AE191+2),"$",""))&amp;Formulas!AD191+1,
IFERROR(INDEX(Datos!$A$2:$K$102,Formulas!AD191,Formulas!AE191+2),"")))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21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IFERROR(INDEX(Datos!$A$2:$K$102,Formulas!AH190,RIGHT(Formulas!AJ190)+2),"")))</f>
        <v/>
      </c>
      <c r="AI193" s="121" t="str" cm="1">
        <f t="array" aca="1" ref="AI193" ca="1">IF(OR(Formulas!AJ191=0,Formulas!AJ191=""),"",HYPERLINK("["&amp;Archivo_Nombre&amp;"]Datos!"&amp;LEFT(SUBSTITUTE(ADDRESS(1,Formulas!AJ191+2),"$",""))&amp;Formulas!AI191+1,
IFERROR(INDEX(Datos!$A$2:$K$102,Formulas!AI191,Formulas!AJ191+2),"")))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21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IFERROR(INDEX(Datos!$A$2:$K$102,Formulas!AM190,RIGHT(Formulas!AO190)+2),"")))</f>
        <v/>
      </c>
      <c r="AN193" s="121" t="str" cm="1">
        <f t="array" aca="1" ref="AN193" ca="1">IF(OR(Formulas!AO191=0,Formulas!AO191=""),"",HYPERLINK("["&amp;Archivo_Nombre&amp;"]Datos!"&amp;LEFT(SUBSTITUTE(ADDRESS(1,Formulas!AO191+2),"$",""))&amp;Formulas!AN191+1,
IFERROR(INDEX(Datos!$A$2:$K$102,Formulas!AN191,Formulas!AO191+2),"")))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21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IFERROR(INDEX(Datos!$A$2:$K$102,Formulas!AR190,RIGHT(Formulas!AT190)+2),"")))</f>
        <v/>
      </c>
      <c r="AS193" s="121" t="str" cm="1">
        <f t="array" aca="1" ref="AS193" ca="1">IF(OR(Formulas!AT191=0,Formulas!AT191=""),"",HYPERLINK("["&amp;Archivo_Nombre&amp;"]Datos!"&amp;LEFT(SUBSTITUTE(ADDRESS(1,Formulas!AT191+2),"$",""))&amp;Formulas!AS191+1,
IFERROR(INDEX(Datos!$A$2:$K$102,Formulas!AS191,Formulas!AT191+2),"")))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21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IFERROR(INDEX(Datos!$A$2:$K$102,Formulas!AW190,RIGHT(Formulas!AY190)+2),"")))</f>
        <v/>
      </c>
      <c r="AX193" s="121" t="str" cm="1">
        <f t="array" aca="1" ref="AX193" ca="1">IF(OR(Formulas!AY191=0,Formulas!AY191=""),"",HYPERLINK("["&amp;Archivo_Nombre&amp;"]Datos!"&amp;LEFT(SUBSTITUTE(ADDRESS(1,Formulas!AY191+2),"$",""))&amp;Formulas!AX191+1,
IFERROR(INDEX(Datos!$A$2:$K$102,Formulas!AX191,Formulas!AY191+2),"")))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21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IFERROR(INDEX(Datos!$A$2:$K$102,Formulas!D191,RIGHT(Formulas!F191)+2),"")))</f>
        <v/>
      </c>
      <c r="E194" s="121" t="str" cm="1">
        <f t="array" aca="1" ref="E194" ca="1">IF(OR(Formulas!F192=0,Formulas!F192=""),"",HYPERLINK("["&amp;Archivo_Nombre&amp;"]Datos!"&amp;LEFT(SUBSTITUTE(ADDRESS(1,Formulas!F192+2),"$",""))&amp;Formulas!E192+1,
IFERROR(INDEX(Datos!$A$2:$K$102,Formulas!E192,Formulas!F192+2),"")))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21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IFERROR(INDEX(Datos!$A$2:$K$102,Formulas!I191,RIGHT(Formulas!K191)+2),"")))</f>
        <v/>
      </c>
      <c r="J194" s="121" t="str" cm="1">
        <f t="array" aca="1" ref="J194" ca="1">IF(OR(Formulas!K192=0,Formulas!K192=""),"",HYPERLINK("["&amp;Archivo_Nombre&amp;"]Datos!"&amp;LEFT(SUBSTITUTE(ADDRESS(1,Formulas!K192+2),"$",""))&amp;Formulas!J192+1,
IFERROR(INDEX(Datos!$A$2:$K$102,Formulas!J192,Formulas!K192+2),"")))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21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IFERROR(INDEX(Datos!$A$2:$K$102,Formulas!N191,RIGHT(Formulas!P191)+2),"")))</f>
        <v/>
      </c>
      <c r="O194" s="121" t="str" cm="1">
        <f t="array" aca="1" ref="O194" ca="1">IF(OR(Formulas!P192=0,Formulas!P192=""),"",HYPERLINK("["&amp;Archivo_Nombre&amp;"]Datos!"&amp;LEFT(SUBSTITUTE(ADDRESS(1,Formulas!P192+2),"$",""))&amp;Formulas!O192+1,
IFERROR(INDEX(Datos!$A$2:$K$102,Formulas!O192,Formulas!P192+2),"")))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21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IFERROR(INDEX(Datos!$A$2:$K$102,Formulas!S191,RIGHT(Formulas!U191)+2),"")))</f>
        <v/>
      </c>
      <c r="T194" s="121" t="e" cm="1">
        <f t="array" aca="1" ref="T194" ca="1">IF(OR(Formulas!U192=0,Formulas!U192=""),"",HYPERLINK("["&amp;Archivo_Nombre&amp;"]Datos!"&amp;LEFT(SUBSTITUTE(ADDRESS(1,Formulas!U192+2),"$",""))&amp;Formulas!T192+1,
IFERROR(INDEX(Datos!$A$2:$K$102,Formulas!T192,Formulas!U192+2),"")))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21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IFERROR(INDEX(Datos!$A$2:$K$102,Formulas!X191,RIGHT(Formulas!Z191)+2),"")))</f>
        <v/>
      </c>
      <c r="Y194" s="121" t="str" cm="1">
        <f t="array" aca="1" ref="Y194" ca="1">IF(OR(Formulas!Z192=0,Formulas!Z192=""),"",HYPERLINK("["&amp;Archivo_Nombre&amp;"]Datos!"&amp;LEFT(SUBSTITUTE(ADDRESS(1,Formulas!Z192+2),"$",""))&amp;Formulas!Y192+1,
IFERROR(INDEX(Datos!$A$2:$K$102,Formulas!Y192,Formulas!Z192+2),"")))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21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IFERROR(INDEX(Datos!$A$2:$K$102,Formulas!AC191,RIGHT(Formulas!AE191)+2),"")))</f>
        <v/>
      </c>
      <c r="AD194" s="121" t="str" cm="1">
        <f t="array" aca="1" ref="AD194" ca="1">IF(OR(Formulas!AE192=0,Formulas!AE192=""),"",HYPERLINK("["&amp;Archivo_Nombre&amp;"]Datos!"&amp;LEFT(SUBSTITUTE(ADDRESS(1,Formulas!AE192+2),"$",""))&amp;Formulas!AD192+1,
IFERROR(INDEX(Datos!$A$2:$K$102,Formulas!AD192,Formulas!AE192+2),"")))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21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IFERROR(INDEX(Datos!$A$2:$K$102,Formulas!AH191,RIGHT(Formulas!AJ191)+2),"")))</f>
        <v/>
      </c>
      <c r="AI194" s="121" t="str" cm="1">
        <f t="array" aca="1" ref="AI194" ca="1">IF(OR(Formulas!AJ192=0,Formulas!AJ192=""),"",HYPERLINK("["&amp;Archivo_Nombre&amp;"]Datos!"&amp;LEFT(SUBSTITUTE(ADDRESS(1,Formulas!AJ192+2),"$",""))&amp;Formulas!AI192+1,
IFERROR(INDEX(Datos!$A$2:$K$102,Formulas!AI192,Formulas!AJ192+2),"")))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21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IFERROR(INDEX(Datos!$A$2:$K$102,Formulas!AM191,RIGHT(Formulas!AO191)+2),"")))</f>
        <v/>
      </c>
      <c r="AN194" s="121" t="str" cm="1">
        <f t="array" aca="1" ref="AN194" ca="1">IF(OR(Formulas!AO192=0,Formulas!AO192=""),"",HYPERLINK("["&amp;Archivo_Nombre&amp;"]Datos!"&amp;LEFT(SUBSTITUTE(ADDRESS(1,Formulas!AO192+2),"$",""))&amp;Formulas!AN192+1,
IFERROR(INDEX(Datos!$A$2:$K$102,Formulas!AN192,Formulas!AO192+2),"")))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21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IFERROR(INDEX(Datos!$A$2:$K$102,Formulas!AR191,RIGHT(Formulas!AT191)+2),"")))</f>
        <v/>
      </c>
      <c r="AS194" s="121" t="str" cm="1">
        <f t="array" aca="1" ref="AS194" ca="1">IF(OR(Formulas!AT192=0,Formulas!AT192=""),"",HYPERLINK("["&amp;Archivo_Nombre&amp;"]Datos!"&amp;LEFT(SUBSTITUTE(ADDRESS(1,Formulas!AT192+2),"$",""))&amp;Formulas!AS192+1,
IFERROR(INDEX(Datos!$A$2:$K$102,Formulas!AS192,Formulas!AT192+2),"")))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21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IFERROR(INDEX(Datos!$A$2:$K$102,Formulas!AW191,RIGHT(Formulas!AY191)+2),"")))</f>
        <v/>
      </c>
      <c r="AX194" s="121" t="str" cm="1">
        <f t="array" aca="1" ref="AX194" ca="1">IF(OR(Formulas!AY192=0,Formulas!AY192=""),"",HYPERLINK("["&amp;Archivo_Nombre&amp;"]Datos!"&amp;LEFT(SUBSTITUTE(ADDRESS(1,Formulas!AY192+2),"$",""))&amp;Formulas!AX192+1,
IFERROR(INDEX(Datos!$A$2:$K$102,Formulas!AX192,Formulas!AY192+2),"")))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21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IFERROR(INDEX(Datos!$A$2:$K$102,Formulas!D192,RIGHT(Formulas!F192)+2),"")))</f>
        <v/>
      </c>
      <c r="E195" s="121" t="str" cm="1">
        <f t="array" aca="1" ref="E195" ca="1">IF(OR(Formulas!F193=0,Formulas!F193=""),"",HYPERLINK("["&amp;Archivo_Nombre&amp;"]Datos!"&amp;LEFT(SUBSTITUTE(ADDRESS(1,Formulas!F193+2),"$",""))&amp;Formulas!E193+1,
IFERROR(INDEX(Datos!$A$2:$K$102,Formulas!E193,Formulas!F193+2),"")))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21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IFERROR(INDEX(Datos!$A$2:$K$102,Formulas!I192,RIGHT(Formulas!K192)+2),"")))</f>
        <v/>
      </c>
      <c r="J195" s="121" t="str" cm="1">
        <f t="array" aca="1" ref="J195" ca="1">IF(OR(Formulas!K193=0,Formulas!K193=""),"",HYPERLINK("["&amp;Archivo_Nombre&amp;"]Datos!"&amp;LEFT(SUBSTITUTE(ADDRESS(1,Formulas!K193+2),"$",""))&amp;Formulas!J193+1,
IFERROR(INDEX(Datos!$A$2:$K$102,Formulas!J193,Formulas!K193+2),"")))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21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IFERROR(INDEX(Datos!$A$2:$K$102,Formulas!N192,RIGHT(Formulas!P192)+2),"")))</f>
        <v/>
      </c>
      <c r="O195" s="121" t="str" cm="1">
        <f t="array" aca="1" ref="O195" ca="1">IF(OR(Formulas!P193=0,Formulas!P193=""),"",HYPERLINK("["&amp;Archivo_Nombre&amp;"]Datos!"&amp;LEFT(SUBSTITUTE(ADDRESS(1,Formulas!P193+2),"$",""))&amp;Formulas!O193+1,
IFERROR(INDEX(Datos!$A$2:$K$102,Formulas!O193,Formulas!P193+2),"")))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37:</v>
      </c>
      <c r="S195" s="121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IFERROR(INDEX(Datos!$A$2:$K$102,Formulas!S192,RIGHT(Formulas!U192)+2),"")))</f>
        <v>REQ004-1 Agregar la opción "Buscar contrato" en la interfaz principal del sistema</v>
      </c>
      <c r="T195" s="121" t="e" cm="1">
        <f t="array" aca="1" ref="T195" ca="1">IF(OR(Formulas!U193=0,Formulas!U193=""),"",HYPERLINK("["&amp;Archivo_Nombre&amp;"]Datos!"&amp;LEFT(SUBSTITUTE(ADDRESS(1,Formulas!U193+2),"$",""))&amp;Formulas!T193+1,
IFERROR(INDEX(Datos!$A$2:$K$102,Formulas!T193,Formulas!U193+2),"")))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21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IFERROR(INDEX(Datos!$A$2:$K$102,Formulas!X192,RIGHT(Formulas!Z192)+2),"")))</f>
        <v/>
      </c>
      <c r="Y195" s="121" t="str" cm="1">
        <f t="array" aca="1" ref="Y195" ca="1">IF(OR(Formulas!Z193=0,Formulas!Z193=""),"",HYPERLINK("["&amp;Archivo_Nombre&amp;"]Datos!"&amp;LEFT(SUBSTITUTE(ADDRESS(1,Formulas!Z193+2),"$",""))&amp;Formulas!Y193+1,
IFERROR(INDEX(Datos!$A$2:$K$102,Formulas!Y193,Formulas!Z193+2),"")))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21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IFERROR(INDEX(Datos!$A$2:$K$102,Formulas!AC192,RIGHT(Formulas!AE192)+2),"")))</f>
        <v/>
      </c>
      <c r="AD195" s="121" t="str" cm="1">
        <f t="array" aca="1" ref="AD195" ca="1">IF(OR(Formulas!AE193=0,Formulas!AE193=""),"",HYPERLINK("["&amp;Archivo_Nombre&amp;"]Datos!"&amp;LEFT(SUBSTITUTE(ADDRESS(1,Formulas!AE193+2),"$",""))&amp;Formulas!AD193+1,
IFERROR(INDEX(Datos!$A$2:$K$102,Formulas!AD193,Formulas!AE193+2),"")))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21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IFERROR(INDEX(Datos!$A$2:$K$102,Formulas!AH192,RIGHT(Formulas!AJ192)+2),"")))</f>
        <v/>
      </c>
      <c r="AI195" s="121" t="str" cm="1">
        <f t="array" aca="1" ref="AI195" ca="1">IF(OR(Formulas!AJ193=0,Formulas!AJ193=""),"",HYPERLINK("["&amp;Archivo_Nombre&amp;"]Datos!"&amp;LEFT(SUBSTITUTE(ADDRESS(1,Formulas!AJ193+2),"$",""))&amp;Formulas!AI193+1,
IFERROR(INDEX(Datos!$A$2:$K$102,Formulas!AI193,Formulas!AJ193+2),"")))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21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IFERROR(INDEX(Datos!$A$2:$K$102,Formulas!AM192,RIGHT(Formulas!AO192)+2),"")))</f>
        <v/>
      </c>
      <c r="AN195" s="121" t="str" cm="1">
        <f t="array" aca="1" ref="AN195" ca="1">IF(OR(Formulas!AO193=0,Formulas!AO193=""),"",HYPERLINK("["&amp;Archivo_Nombre&amp;"]Datos!"&amp;LEFT(SUBSTITUTE(ADDRESS(1,Formulas!AO193+2),"$",""))&amp;Formulas!AN193+1,
IFERROR(INDEX(Datos!$A$2:$K$102,Formulas!AN193,Formulas!AO193+2),"")))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21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IFERROR(INDEX(Datos!$A$2:$K$102,Formulas!AR192,RIGHT(Formulas!AT192)+2),"")))</f>
        <v/>
      </c>
      <c r="AS195" s="121" t="str" cm="1">
        <f t="array" aca="1" ref="AS195" ca="1">IF(OR(Formulas!AT193=0,Formulas!AT193=""),"",HYPERLINK("["&amp;Archivo_Nombre&amp;"]Datos!"&amp;LEFT(SUBSTITUTE(ADDRESS(1,Formulas!AT193+2),"$",""))&amp;Formulas!AS193+1,
IFERROR(INDEX(Datos!$A$2:$K$102,Formulas!AS193,Formulas!AT193+2),"")))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21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IFERROR(INDEX(Datos!$A$2:$K$102,Formulas!AW192,RIGHT(Formulas!AY192)+2),"")))</f>
        <v/>
      </c>
      <c r="AX195" s="121" t="str" cm="1">
        <f t="array" aca="1" ref="AX195" ca="1">IF(OR(Formulas!AY193=0,Formulas!AY193=""),"",HYPERLINK("["&amp;Archivo_Nombre&amp;"]Datos!"&amp;LEFT(SUBSTITUTE(ADDRESS(1,Formulas!AY193+2),"$",""))&amp;Formulas!AX193+1,
IFERROR(INDEX(Datos!$A$2:$K$102,Formulas!AX193,Formulas!AY193+2),"")))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21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IFERROR(INDEX(Datos!$A$2:$K$102,Formulas!D193,RIGHT(Formulas!F193)+2),"")))</f>
        <v/>
      </c>
      <c r="E196" s="121" t="str" cm="1">
        <f t="array" aca="1" ref="E196" ca="1">IF(OR(Formulas!F194=0,Formulas!F194=""),"",HYPERLINK("["&amp;Archivo_Nombre&amp;"]Datos!"&amp;LEFT(SUBSTITUTE(ADDRESS(1,Formulas!F194+2),"$",""))&amp;Formulas!E194+1,
IFERROR(INDEX(Datos!$A$2:$K$102,Formulas!E194,Formulas!F194+2),"")))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21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IFERROR(INDEX(Datos!$A$2:$K$102,Formulas!I193,RIGHT(Formulas!K193)+2),"")))</f>
        <v/>
      </c>
      <c r="J196" s="121" t="str" cm="1">
        <f t="array" aca="1" ref="J196" ca="1">IF(OR(Formulas!K194=0,Formulas!K194=""),"",HYPERLINK("["&amp;Archivo_Nombre&amp;"]Datos!"&amp;LEFT(SUBSTITUTE(ADDRESS(1,Formulas!K194+2),"$",""))&amp;Formulas!J194+1,
IFERROR(INDEX(Datos!$A$2:$K$102,Formulas!J194,Formulas!K194+2),"")))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21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IFERROR(INDEX(Datos!$A$2:$K$102,Formulas!N193,RIGHT(Formulas!P193)+2),"")))</f>
        <v/>
      </c>
      <c r="O196" s="121" t="str" cm="1">
        <f t="array" aca="1" ref="O196" ca="1">IF(OR(Formulas!P194=0,Formulas!P194=""),"",HYPERLINK("["&amp;Archivo_Nombre&amp;"]Datos!"&amp;LEFT(SUBSTITUTE(ADDRESS(1,Formulas!P194+2),"$",""))&amp;Formulas!O194+1,
IFERROR(INDEX(Datos!$A$2:$K$102,Formulas!O194,Formulas!P194+2),"")))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21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IFERROR(INDEX(Datos!$A$2:$K$102,Formulas!S193,RIGHT(Formulas!U193)+2),"")))</f>
        <v>Agregar opción Buscar contrato en interfaz</v>
      </c>
      <c r="T196" s="121" t="e" cm="1">
        <f t="array" aca="1" ref="T196" ca="1">IF(OR(Formulas!U194=0,Formulas!U194=""),"",HYPERLINK("["&amp;Archivo_Nombre&amp;"]Datos!"&amp;LEFT(SUBSTITUTE(ADDRESS(1,Formulas!U194+2),"$",""))&amp;Formulas!T194+1,
IFERROR(INDEX(Datos!$A$2:$K$102,Formulas!T194,Formulas!U194+2),"")))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21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IFERROR(INDEX(Datos!$A$2:$K$102,Formulas!X193,RIGHT(Formulas!Z193)+2),"")))</f>
        <v/>
      </c>
      <c r="Y196" s="121" t="str" cm="1">
        <f t="array" aca="1" ref="Y196" ca="1">IF(OR(Formulas!Z194=0,Formulas!Z194=""),"",HYPERLINK("["&amp;Archivo_Nombre&amp;"]Datos!"&amp;LEFT(SUBSTITUTE(ADDRESS(1,Formulas!Z194+2),"$",""))&amp;Formulas!Y194+1,
IFERROR(INDEX(Datos!$A$2:$K$102,Formulas!Y194,Formulas!Z194+2),"")))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21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IFERROR(INDEX(Datos!$A$2:$K$102,Formulas!AC193,RIGHT(Formulas!AE193)+2),"")))</f>
        <v/>
      </c>
      <c r="AD196" s="121" t="str" cm="1">
        <f t="array" aca="1" ref="AD196" ca="1">IF(OR(Formulas!AE194=0,Formulas!AE194=""),"",HYPERLINK("["&amp;Archivo_Nombre&amp;"]Datos!"&amp;LEFT(SUBSTITUTE(ADDRESS(1,Formulas!AE194+2),"$",""))&amp;Formulas!AD194+1,
IFERROR(INDEX(Datos!$A$2:$K$102,Formulas!AD194,Formulas!AE194+2),"")))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21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IFERROR(INDEX(Datos!$A$2:$K$102,Formulas!AH193,RIGHT(Formulas!AJ193)+2),"")))</f>
        <v/>
      </c>
      <c r="AI196" s="121" t="str" cm="1">
        <f t="array" aca="1" ref="AI196" ca="1">IF(OR(Formulas!AJ194=0,Formulas!AJ194=""),"",HYPERLINK("["&amp;Archivo_Nombre&amp;"]Datos!"&amp;LEFT(SUBSTITUTE(ADDRESS(1,Formulas!AJ194+2),"$",""))&amp;Formulas!AI194+1,
IFERROR(INDEX(Datos!$A$2:$K$102,Formulas!AI194,Formulas!AJ194+2),"")))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21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IFERROR(INDEX(Datos!$A$2:$K$102,Formulas!AM193,RIGHT(Formulas!AO193)+2),"")))</f>
        <v/>
      </c>
      <c r="AN196" s="121" t="str" cm="1">
        <f t="array" aca="1" ref="AN196" ca="1">IF(OR(Formulas!AO194=0,Formulas!AO194=""),"",HYPERLINK("["&amp;Archivo_Nombre&amp;"]Datos!"&amp;LEFT(SUBSTITUTE(ADDRESS(1,Formulas!AO194+2),"$",""))&amp;Formulas!AN194+1,
IFERROR(INDEX(Datos!$A$2:$K$102,Formulas!AN194,Formulas!AO194+2),"")))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21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IFERROR(INDEX(Datos!$A$2:$K$102,Formulas!AR193,RIGHT(Formulas!AT193)+2),"")))</f>
        <v/>
      </c>
      <c r="AS196" s="121" t="str" cm="1">
        <f t="array" aca="1" ref="AS196" ca="1">IF(OR(Formulas!AT194=0,Formulas!AT194=""),"",HYPERLINK("["&amp;Archivo_Nombre&amp;"]Datos!"&amp;LEFT(SUBSTITUTE(ADDRESS(1,Formulas!AT194+2),"$",""))&amp;Formulas!AS194+1,
IFERROR(INDEX(Datos!$A$2:$K$102,Formulas!AS194,Formulas!AT194+2),"")))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21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IFERROR(INDEX(Datos!$A$2:$K$102,Formulas!AW193,RIGHT(Formulas!AY193)+2),"")))</f>
        <v/>
      </c>
      <c r="AX196" s="121" t="str" cm="1">
        <f t="array" aca="1" ref="AX196" ca="1">IF(OR(Formulas!AY194=0,Formulas!AY194=""),"",HYPERLINK("["&amp;Archivo_Nombre&amp;"]Datos!"&amp;LEFT(SUBSTITUTE(ADDRESS(1,Formulas!AY194+2),"$",""))&amp;Formulas!AX194+1,
IFERROR(INDEX(Datos!$A$2:$K$102,Formulas!AX194,Formulas!AY194+2),"")))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21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IFERROR(INDEX(Datos!$A$2:$K$102,Formulas!D194,RIGHT(Formulas!F194)+2),"")))</f>
        <v/>
      </c>
      <c r="E197" s="121" t="str" cm="1">
        <f t="array" aca="1" ref="E197" ca="1">IF(OR(Formulas!F195=0,Formulas!F195=""),"",HYPERLINK("["&amp;Archivo_Nombre&amp;"]Datos!"&amp;LEFT(SUBSTITUTE(ADDRESS(1,Formulas!F195+2),"$",""))&amp;Formulas!E195+1,
IFERROR(INDEX(Datos!$A$2:$K$102,Formulas!E195,Formulas!F195+2),"")))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21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IFERROR(INDEX(Datos!$A$2:$K$102,Formulas!I194,RIGHT(Formulas!K194)+2),"")))</f>
        <v/>
      </c>
      <c r="J197" s="121" t="str" cm="1">
        <f t="array" aca="1" ref="J197" ca="1">IF(OR(Formulas!K195=0,Formulas!K195=""),"",HYPERLINK("["&amp;Archivo_Nombre&amp;"]Datos!"&amp;LEFT(SUBSTITUTE(ADDRESS(1,Formulas!K195+2),"$",""))&amp;Formulas!J195+1,
IFERROR(INDEX(Datos!$A$2:$K$102,Formulas!J195,Formulas!K195+2),"")))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21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IFERROR(INDEX(Datos!$A$2:$K$102,Formulas!N194,RIGHT(Formulas!P194)+2),"")))</f>
        <v/>
      </c>
      <c r="O197" s="121" t="str" cm="1">
        <f t="array" aca="1" ref="O197" ca="1">IF(OR(Formulas!P195=0,Formulas!P195=""),"",HYPERLINK("["&amp;Archivo_Nombre&amp;"]Datos!"&amp;LEFT(SUBSTITUTE(ADDRESS(1,Formulas!P195+2),"$",""))&amp;Formulas!O195+1,
IFERROR(INDEX(Datos!$A$2:$K$102,Formulas!O195,Formulas!P195+2),"")))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21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IFERROR(INDEX(Datos!$A$2:$K$102,Formulas!S194,RIGHT(Formulas!U194)+2),"")))</f>
        <v>45847</v>
      </c>
      <c r="T197" s="121" t="e" cm="1">
        <f t="array" aca="1" ref="T197" ca="1">IF(OR(Formulas!U195=0,Formulas!U195=""),"",HYPERLINK("["&amp;Archivo_Nombre&amp;"]Datos!"&amp;LEFT(SUBSTITUTE(ADDRESS(1,Formulas!U195+2),"$",""))&amp;Formulas!T195+1,
IFERROR(INDEX(Datos!$A$2:$K$102,Formulas!T195,Formulas!U195+2),"")))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21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IFERROR(INDEX(Datos!$A$2:$K$102,Formulas!X194,RIGHT(Formulas!Z194)+2),"")))</f>
        <v/>
      </c>
      <c r="Y197" s="121" t="str" cm="1">
        <f t="array" aca="1" ref="Y197" ca="1">IF(OR(Formulas!Z195=0,Formulas!Z195=""),"",HYPERLINK("["&amp;Archivo_Nombre&amp;"]Datos!"&amp;LEFT(SUBSTITUTE(ADDRESS(1,Formulas!Z195+2),"$",""))&amp;Formulas!Y195+1,
IFERROR(INDEX(Datos!$A$2:$K$102,Formulas!Y195,Formulas!Z195+2),"")))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21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IFERROR(INDEX(Datos!$A$2:$K$102,Formulas!AC194,RIGHT(Formulas!AE194)+2),"")))</f>
        <v/>
      </c>
      <c r="AD197" s="121" t="str" cm="1">
        <f t="array" aca="1" ref="AD197" ca="1">IF(OR(Formulas!AE195=0,Formulas!AE195=""),"",HYPERLINK("["&amp;Archivo_Nombre&amp;"]Datos!"&amp;LEFT(SUBSTITUTE(ADDRESS(1,Formulas!AE195+2),"$",""))&amp;Formulas!AD195+1,
IFERROR(INDEX(Datos!$A$2:$K$102,Formulas!AD195,Formulas!AE195+2),"")))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21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IFERROR(INDEX(Datos!$A$2:$K$102,Formulas!AH194,RIGHT(Formulas!AJ194)+2),"")))</f>
        <v/>
      </c>
      <c r="AI197" s="121" t="str" cm="1">
        <f t="array" aca="1" ref="AI197" ca="1">IF(OR(Formulas!AJ195=0,Formulas!AJ195=""),"",HYPERLINK("["&amp;Archivo_Nombre&amp;"]Datos!"&amp;LEFT(SUBSTITUTE(ADDRESS(1,Formulas!AJ195+2),"$",""))&amp;Formulas!AI195+1,
IFERROR(INDEX(Datos!$A$2:$K$102,Formulas!AI195,Formulas!AJ195+2),"")))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21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IFERROR(INDEX(Datos!$A$2:$K$102,Formulas!AM194,RIGHT(Formulas!AO194)+2),"")))</f>
        <v/>
      </c>
      <c r="AN197" s="121" t="str" cm="1">
        <f t="array" aca="1" ref="AN197" ca="1">IF(OR(Formulas!AO195=0,Formulas!AO195=""),"",HYPERLINK("["&amp;Archivo_Nombre&amp;"]Datos!"&amp;LEFT(SUBSTITUTE(ADDRESS(1,Formulas!AO195+2),"$",""))&amp;Formulas!AN195+1,
IFERROR(INDEX(Datos!$A$2:$K$102,Formulas!AN195,Formulas!AO195+2),"")))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21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IFERROR(INDEX(Datos!$A$2:$K$102,Formulas!AR194,RIGHT(Formulas!AT194)+2),"")))</f>
        <v/>
      </c>
      <c r="AS197" s="121" t="str" cm="1">
        <f t="array" aca="1" ref="AS197" ca="1">IF(OR(Formulas!AT195=0,Formulas!AT195=""),"",HYPERLINK("["&amp;Archivo_Nombre&amp;"]Datos!"&amp;LEFT(SUBSTITUTE(ADDRESS(1,Formulas!AT195+2),"$",""))&amp;Formulas!AS195+1,
IFERROR(INDEX(Datos!$A$2:$K$102,Formulas!AS195,Formulas!AT195+2),"")))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21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IFERROR(INDEX(Datos!$A$2:$K$102,Formulas!AW194,RIGHT(Formulas!AY194)+2),"")))</f>
        <v/>
      </c>
      <c r="AX197" s="121" t="str" cm="1">
        <f t="array" aca="1" ref="AX197" ca="1">IF(OR(Formulas!AY195=0,Formulas!AY195=""),"",HYPERLINK("["&amp;Archivo_Nombre&amp;"]Datos!"&amp;LEFT(SUBSTITUTE(ADDRESS(1,Formulas!AY195+2),"$",""))&amp;Formulas!AX195+1,
IFERROR(INDEX(Datos!$A$2:$K$102,Formulas!AX195,Formulas!AY195+2),"")))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21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IFERROR(INDEX(Datos!$A$2:$K$102,Formulas!D195,RIGHT(Formulas!F195)+2),"")))</f>
        <v/>
      </c>
      <c r="E198" s="121" t="str" cm="1">
        <f t="array" aca="1" ref="E198" ca="1">IF(OR(Formulas!F196=0,Formulas!F196=""),"",HYPERLINK("["&amp;Archivo_Nombre&amp;"]Datos!"&amp;LEFT(SUBSTITUTE(ADDRESS(1,Formulas!F196+2),"$",""))&amp;Formulas!E196+1,
IFERROR(INDEX(Datos!$A$2:$K$102,Formulas!E196,Formulas!F196+2),"")))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21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IFERROR(INDEX(Datos!$A$2:$K$102,Formulas!I195,RIGHT(Formulas!K195)+2),"")))</f>
        <v/>
      </c>
      <c r="J198" s="121" t="str" cm="1">
        <f t="array" aca="1" ref="J198" ca="1">IF(OR(Formulas!K196=0,Formulas!K196=""),"",HYPERLINK("["&amp;Archivo_Nombre&amp;"]Datos!"&amp;LEFT(SUBSTITUTE(ADDRESS(1,Formulas!K196+2),"$",""))&amp;Formulas!J196+1,
IFERROR(INDEX(Datos!$A$2:$K$102,Formulas!J196,Formulas!K196+2),"")))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21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IFERROR(INDEX(Datos!$A$2:$K$102,Formulas!N195,RIGHT(Formulas!P195)+2),"")))</f>
        <v/>
      </c>
      <c r="O198" s="121" t="str" cm="1">
        <f t="array" aca="1" ref="O198" ca="1">IF(OR(Formulas!P196=0,Formulas!P196=""),"",HYPERLINK("["&amp;Archivo_Nombre&amp;"]Datos!"&amp;LEFT(SUBSTITUTE(ADDRESS(1,Formulas!P196+2),"$",""))&amp;Formulas!O196+1,
IFERROR(INDEX(Datos!$A$2:$K$102,Formulas!O196,Formulas!P196+2),"")))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21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IFERROR(INDEX(Datos!$A$2:$K$102,Formulas!S195,RIGHT(Formulas!U195)+2),"")))</f>
        <v>45847</v>
      </c>
      <c r="T198" s="121" t="e" cm="1">
        <f t="array" aca="1" ref="T198" ca="1">IF(OR(Formulas!U196=0,Formulas!U196=""),"",HYPERLINK("["&amp;Archivo_Nombre&amp;"]Datos!"&amp;LEFT(SUBSTITUTE(ADDRESS(1,Formulas!U196+2),"$",""))&amp;Formulas!T196+1,
IFERROR(INDEX(Datos!$A$2:$K$102,Formulas!T196,Formulas!U196+2),"")))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21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IFERROR(INDEX(Datos!$A$2:$K$102,Formulas!X195,RIGHT(Formulas!Z195)+2),"")))</f>
        <v/>
      </c>
      <c r="Y198" s="121" t="str" cm="1">
        <f t="array" aca="1" ref="Y198" ca="1">IF(OR(Formulas!Z196=0,Formulas!Z196=""),"",HYPERLINK("["&amp;Archivo_Nombre&amp;"]Datos!"&amp;LEFT(SUBSTITUTE(ADDRESS(1,Formulas!Z196+2),"$",""))&amp;Formulas!Y196+1,
IFERROR(INDEX(Datos!$A$2:$K$102,Formulas!Y196,Formulas!Z196+2),"")))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21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IFERROR(INDEX(Datos!$A$2:$K$102,Formulas!AC195,RIGHT(Formulas!AE195)+2),"")))</f>
        <v/>
      </c>
      <c r="AD198" s="121" t="str" cm="1">
        <f t="array" aca="1" ref="AD198" ca="1">IF(OR(Formulas!AE196=0,Formulas!AE196=""),"",HYPERLINK("["&amp;Archivo_Nombre&amp;"]Datos!"&amp;LEFT(SUBSTITUTE(ADDRESS(1,Formulas!AE196+2),"$",""))&amp;Formulas!AD196+1,
IFERROR(INDEX(Datos!$A$2:$K$102,Formulas!AD196,Formulas!AE196+2),"")))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21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IFERROR(INDEX(Datos!$A$2:$K$102,Formulas!AH195,RIGHT(Formulas!AJ195)+2),"")))</f>
        <v/>
      </c>
      <c r="AI198" s="121" t="str" cm="1">
        <f t="array" aca="1" ref="AI198" ca="1">IF(OR(Formulas!AJ196=0,Formulas!AJ196=""),"",HYPERLINK("["&amp;Archivo_Nombre&amp;"]Datos!"&amp;LEFT(SUBSTITUTE(ADDRESS(1,Formulas!AJ196+2),"$",""))&amp;Formulas!AI196+1,
IFERROR(INDEX(Datos!$A$2:$K$102,Formulas!AI196,Formulas!AJ196+2),"")))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21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IFERROR(INDEX(Datos!$A$2:$K$102,Formulas!AM195,RIGHT(Formulas!AO195)+2),"")))</f>
        <v/>
      </c>
      <c r="AN198" s="121" t="str" cm="1">
        <f t="array" aca="1" ref="AN198" ca="1">IF(OR(Formulas!AO196=0,Formulas!AO196=""),"",HYPERLINK("["&amp;Archivo_Nombre&amp;"]Datos!"&amp;LEFT(SUBSTITUTE(ADDRESS(1,Formulas!AO196+2),"$",""))&amp;Formulas!AN196+1,
IFERROR(INDEX(Datos!$A$2:$K$102,Formulas!AN196,Formulas!AO196+2),"")))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21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IFERROR(INDEX(Datos!$A$2:$K$102,Formulas!AR195,RIGHT(Formulas!AT195)+2),"")))</f>
        <v/>
      </c>
      <c r="AS198" s="121" t="str" cm="1">
        <f t="array" aca="1" ref="AS198" ca="1">IF(OR(Formulas!AT196=0,Formulas!AT196=""),"",HYPERLINK("["&amp;Archivo_Nombre&amp;"]Datos!"&amp;LEFT(SUBSTITUTE(ADDRESS(1,Formulas!AT196+2),"$",""))&amp;Formulas!AS196+1,
IFERROR(INDEX(Datos!$A$2:$K$102,Formulas!AS196,Formulas!AT196+2),"")))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21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IFERROR(INDEX(Datos!$A$2:$K$102,Formulas!AW195,RIGHT(Formulas!AY195)+2),"")))</f>
        <v/>
      </c>
      <c r="AX198" s="121" t="str" cm="1">
        <f t="array" aca="1" ref="AX198" ca="1">IF(OR(Formulas!AY196=0,Formulas!AY196=""),"",HYPERLINK("["&amp;Archivo_Nombre&amp;"]Datos!"&amp;LEFT(SUBSTITUTE(ADDRESS(1,Formulas!AY196+2),"$",""))&amp;Formulas!AX196+1,
IFERROR(INDEX(Datos!$A$2:$K$102,Formulas!AX196,Formulas!AY196+2),"")))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21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IFERROR(INDEX(Datos!$A$2:$K$102,Formulas!D196,RIGHT(Formulas!F196)+2),"")))</f>
        <v/>
      </c>
      <c r="E199" s="121" t="str" cm="1">
        <f t="array" aca="1" ref="E199" ca="1">IF(OR(Formulas!F197=0,Formulas!F197=""),"",HYPERLINK("["&amp;Archivo_Nombre&amp;"]Datos!"&amp;LEFT(SUBSTITUTE(ADDRESS(1,Formulas!F197+2),"$",""))&amp;Formulas!E197+1,
IFERROR(INDEX(Datos!$A$2:$K$102,Formulas!E197,Formulas!F197+2),"")))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21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IFERROR(INDEX(Datos!$A$2:$K$102,Formulas!I196,RIGHT(Formulas!K196)+2),"")))</f>
        <v/>
      </c>
      <c r="J199" s="121" t="str" cm="1">
        <f t="array" aca="1" ref="J199" ca="1">IF(OR(Formulas!K197=0,Formulas!K197=""),"",HYPERLINK("["&amp;Archivo_Nombre&amp;"]Datos!"&amp;LEFT(SUBSTITUTE(ADDRESS(1,Formulas!K197+2),"$",""))&amp;Formulas!J197+1,
IFERROR(INDEX(Datos!$A$2:$K$102,Formulas!J197,Formulas!K197+2),"")))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21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IFERROR(INDEX(Datos!$A$2:$K$102,Formulas!N196,RIGHT(Formulas!P196)+2),"")))</f>
        <v/>
      </c>
      <c r="O199" s="121" t="str" cm="1">
        <f t="array" aca="1" ref="O199" ca="1">IF(OR(Formulas!P197=0,Formulas!P197=""),"",HYPERLINK("["&amp;Archivo_Nombre&amp;"]Datos!"&amp;LEFT(SUBSTITUTE(ADDRESS(1,Formulas!P197+2),"$",""))&amp;Formulas!O197+1,
IFERROR(INDEX(Datos!$A$2:$K$102,Formulas!O197,Formulas!P197+2),"")))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21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IFERROR(INDEX(Datos!$A$2:$K$102,Formulas!S196,RIGHT(Formulas!U196)+2),"")))</f>
        <v>45847</v>
      </c>
      <c r="T199" s="121" t="e" cm="1">
        <f t="array" aca="1" ref="T199" ca="1">IF(OR(Formulas!U197=0,Formulas!U197=""),"",HYPERLINK("["&amp;Archivo_Nombre&amp;"]Datos!"&amp;LEFT(SUBSTITUTE(ADDRESS(1,Formulas!U197+2),"$",""))&amp;Formulas!T197+1,
IFERROR(INDEX(Datos!$A$2:$K$102,Formulas!T197,Formulas!U197+2),"")))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21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IFERROR(INDEX(Datos!$A$2:$K$102,Formulas!X196,RIGHT(Formulas!Z196)+2),"")))</f>
        <v/>
      </c>
      <c r="Y199" s="121" t="str" cm="1">
        <f t="array" aca="1" ref="Y199" ca="1">IF(OR(Formulas!Z197=0,Formulas!Z197=""),"",HYPERLINK("["&amp;Archivo_Nombre&amp;"]Datos!"&amp;LEFT(SUBSTITUTE(ADDRESS(1,Formulas!Z197+2),"$",""))&amp;Formulas!Y197+1,
IFERROR(INDEX(Datos!$A$2:$K$102,Formulas!Y197,Formulas!Z197+2),"")))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21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IFERROR(INDEX(Datos!$A$2:$K$102,Formulas!AC196,RIGHT(Formulas!AE196)+2),"")))</f>
        <v/>
      </c>
      <c r="AD199" s="121" t="str" cm="1">
        <f t="array" aca="1" ref="AD199" ca="1">IF(OR(Formulas!AE197=0,Formulas!AE197=""),"",HYPERLINK("["&amp;Archivo_Nombre&amp;"]Datos!"&amp;LEFT(SUBSTITUTE(ADDRESS(1,Formulas!AE197+2),"$",""))&amp;Formulas!AD197+1,
IFERROR(INDEX(Datos!$A$2:$K$102,Formulas!AD197,Formulas!AE197+2),"")))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21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IFERROR(INDEX(Datos!$A$2:$K$102,Formulas!AH196,RIGHT(Formulas!AJ196)+2),"")))</f>
        <v/>
      </c>
      <c r="AI199" s="121" t="str" cm="1">
        <f t="array" aca="1" ref="AI199" ca="1">IF(OR(Formulas!AJ197=0,Formulas!AJ197=""),"",HYPERLINK("["&amp;Archivo_Nombre&amp;"]Datos!"&amp;LEFT(SUBSTITUTE(ADDRESS(1,Formulas!AJ197+2),"$",""))&amp;Formulas!AI197+1,
IFERROR(INDEX(Datos!$A$2:$K$102,Formulas!AI197,Formulas!AJ197+2),"")))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21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IFERROR(INDEX(Datos!$A$2:$K$102,Formulas!AM196,RIGHT(Formulas!AO196)+2),"")))</f>
        <v/>
      </c>
      <c r="AN199" s="121" t="str" cm="1">
        <f t="array" aca="1" ref="AN199" ca="1">IF(OR(Formulas!AO197=0,Formulas!AO197=""),"",HYPERLINK("["&amp;Archivo_Nombre&amp;"]Datos!"&amp;LEFT(SUBSTITUTE(ADDRESS(1,Formulas!AO197+2),"$",""))&amp;Formulas!AN197+1,
IFERROR(INDEX(Datos!$A$2:$K$102,Formulas!AN197,Formulas!AO197+2),"")))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21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IFERROR(INDEX(Datos!$A$2:$K$102,Formulas!AR196,RIGHT(Formulas!AT196)+2),"")))</f>
        <v/>
      </c>
      <c r="AS199" s="121" t="str" cm="1">
        <f t="array" aca="1" ref="AS199" ca="1">IF(OR(Formulas!AT197=0,Formulas!AT197=""),"",HYPERLINK("["&amp;Archivo_Nombre&amp;"]Datos!"&amp;LEFT(SUBSTITUTE(ADDRESS(1,Formulas!AT197+2),"$",""))&amp;Formulas!AS197+1,
IFERROR(INDEX(Datos!$A$2:$K$102,Formulas!AS197,Formulas!AT197+2),"")))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21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IFERROR(INDEX(Datos!$A$2:$K$102,Formulas!AW196,RIGHT(Formulas!AY196)+2),"")))</f>
        <v/>
      </c>
      <c r="AX199" s="121" t="str" cm="1">
        <f t="array" aca="1" ref="AX199" ca="1">IF(OR(Formulas!AY197=0,Formulas!AY197=""),"",HYPERLINK("["&amp;Archivo_Nombre&amp;"]Datos!"&amp;LEFT(SUBSTITUTE(ADDRESS(1,Formulas!AY197+2),"$",""))&amp;Formulas!AX197+1,
IFERROR(INDEX(Datos!$A$2:$K$102,Formulas!AX197,Formulas!AY197+2),"")))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21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IFERROR(INDEX(Datos!$A$2:$K$102,Formulas!D197,RIGHT(Formulas!F197)+2),"")))</f>
        <v/>
      </c>
      <c r="E200" s="121" t="str" cm="1">
        <f t="array" aca="1" ref="E200" ca="1">IF(OR(Formulas!F198=0,Formulas!F198=""),"",HYPERLINK("["&amp;Archivo_Nombre&amp;"]Datos!"&amp;LEFT(SUBSTITUTE(ADDRESS(1,Formulas!F198+2),"$",""))&amp;Formulas!E198+1,
IFERROR(INDEX(Datos!$A$2:$K$102,Formulas!E198,Formulas!F198+2),"")))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21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IFERROR(INDEX(Datos!$A$2:$K$102,Formulas!I197,RIGHT(Formulas!K197)+2),"")))</f>
        <v/>
      </c>
      <c r="J200" s="121" t="str" cm="1">
        <f t="array" aca="1" ref="J200" ca="1">IF(OR(Formulas!K198=0,Formulas!K198=""),"",HYPERLINK("["&amp;Archivo_Nombre&amp;"]Datos!"&amp;LEFT(SUBSTITUTE(ADDRESS(1,Formulas!K198+2),"$",""))&amp;Formulas!J198+1,
IFERROR(INDEX(Datos!$A$2:$K$102,Formulas!J198,Formulas!K198+2),"")))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21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IFERROR(INDEX(Datos!$A$2:$K$102,Formulas!N197,RIGHT(Formulas!P197)+2),"")))</f>
        <v/>
      </c>
      <c r="O200" s="121" t="str" cm="1">
        <f t="array" aca="1" ref="O200" ca="1">IF(OR(Formulas!P198=0,Formulas!P198=""),"",HYPERLINK("["&amp;Archivo_Nombre&amp;"]Datos!"&amp;LEFT(SUBSTITUTE(ADDRESS(1,Formulas!P198+2),"$",""))&amp;Formulas!O198+1,
IFERROR(INDEX(Datos!$A$2:$K$102,Formulas!O198,Formulas!P198+2),"")))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21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IFERROR(INDEX(Datos!$A$2:$K$102,Formulas!S197,RIGHT(Formulas!U197)+2),"")))</f>
        <v>1 días</v>
      </c>
      <c r="T200" s="121" t="e" cm="1">
        <f t="array" aca="1" ref="T200" ca="1">IF(OR(Formulas!U198=0,Formulas!U198=""),"",HYPERLINK("["&amp;Archivo_Nombre&amp;"]Datos!"&amp;LEFT(SUBSTITUTE(ADDRESS(1,Formulas!U198+2),"$",""))&amp;Formulas!T198+1,
IFERROR(INDEX(Datos!$A$2:$K$102,Formulas!T198,Formulas!U198+2),"")))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21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IFERROR(INDEX(Datos!$A$2:$K$102,Formulas!X197,RIGHT(Formulas!Z197)+2),"")))</f>
        <v/>
      </c>
      <c r="Y200" s="121" t="str" cm="1">
        <f t="array" aca="1" ref="Y200" ca="1">IF(OR(Formulas!Z198=0,Formulas!Z198=""),"",HYPERLINK("["&amp;Archivo_Nombre&amp;"]Datos!"&amp;LEFT(SUBSTITUTE(ADDRESS(1,Formulas!Z198+2),"$",""))&amp;Formulas!Y198+1,
IFERROR(INDEX(Datos!$A$2:$K$102,Formulas!Y198,Formulas!Z198+2),"")))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21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IFERROR(INDEX(Datos!$A$2:$K$102,Formulas!AC197,RIGHT(Formulas!AE197)+2),"")))</f>
        <v/>
      </c>
      <c r="AD200" s="121" t="str" cm="1">
        <f t="array" aca="1" ref="AD200" ca="1">IF(OR(Formulas!AE198=0,Formulas!AE198=""),"",HYPERLINK("["&amp;Archivo_Nombre&amp;"]Datos!"&amp;LEFT(SUBSTITUTE(ADDRESS(1,Formulas!AE198+2),"$",""))&amp;Formulas!AD198+1,
IFERROR(INDEX(Datos!$A$2:$K$102,Formulas!AD198,Formulas!AE198+2),"")))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21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IFERROR(INDEX(Datos!$A$2:$K$102,Formulas!AH197,RIGHT(Formulas!AJ197)+2),"")))</f>
        <v/>
      </c>
      <c r="AI200" s="121" t="str" cm="1">
        <f t="array" aca="1" ref="AI200" ca="1">IF(OR(Formulas!AJ198=0,Formulas!AJ198=""),"",HYPERLINK("["&amp;Archivo_Nombre&amp;"]Datos!"&amp;LEFT(SUBSTITUTE(ADDRESS(1,Formulas!AJ198+2),"$",""))&amp;Formulas!AI198+1,
IFERROR(INDEX(Datos!$A$2:$K$102,Formulas!AI198,Formulas!AJ198+2),"")))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21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IFERROR(INDEX(Datos!$A$2:$K$102,Formulas!AM197,RIGHT(Formulas!AO197)+2),"")))</f>
        <v/>
      </c>
      <c r="AN200" s="121" t="str" cm="1">
        <f t="array" aca="1" ref="AN200" ca="1">IF(OR(Formulas!AO198=0,Formulas!AO198=""),"",HYPERLINK("["&amp;Archivo_Nombre&amp;"]Datos!"&amp;LEFT(SUBSTITUTE(ADDRESS(1,Formulas!AO198+2),"$",""))&amp;Formulas!AN198+1,
IFERROR(INDEX(Datos!$A$2:$K$102,Formulas!AN198,Formulas!AO198+2),"")))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21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IFERROR(INDEX(Datos!$A$2:$K$102,Formulas!AR197,RIGHT(Formulas!AT197)+2),"")))</f>
        <v/>
      </c>
      <c r="AS200" s="121" t="str" cm="1">
        <f t="array" aca="1" ref="AS200" ca="1">IF(OR(Formulas!AT198=0,Formulas!AT198=""),"",HYPERLINK("["&amp;Archivo_Nombre&amp;"]Datos!"&amp;LEFT(SUBSTITUTE(ADDRESS(1,Formulas!AT198+2),"$",""))&amp;Formulas!AS198+1,
IFERROR(INDEX(Datos!$A$2:$K$102,Formulas!AS198,Formulas!AT198+2),"")))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21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IFERROR(INDEX(Datos!$A$2:$K$102,Formulas!AW197,RIGHT(Formulas!AY197)+2),"")))</f>
        <v/>
      </c>
      <c r="AX200" s="121" t="str" cm="1">
        <f t="array" aca="1" ref="AX200" ca="1">IF(OR(Formulas!AY198=0,Formulas!AY198=""),"",HYPERLINK("["&amp;Archivo_Nombre&amp;"]Datos!"&amp;LEFT(SUBSTITUTE(ADDRESS(1,Formulas!AY198+2),"$",""))&amp;Formulas!AX198+1,
IFERROR(INDEX(Datos!$A$2:$K$102,Formulas!AX198,Formulas!AY198+2),"")))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22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IFERROR(INDEX(Datos!$A$2:$K$102,Formulas!D198,RIGHT(Formulas!F198)+2),"")))</f>
        <v/>
      </c>
      <c r="E201" s="122" t="str" cm="1">
        <f t="array" ref="E201">IF(OR(Formulas!F199=0,Formulas!F199=""),"",HYPERLINK("["&amp;Archivo_Nombre&amp;"]Datos!"&amp;LEFT(SUBSTITUTE(ADDRESS(1,Formulas!F199+2),"$",""))&amp;Formulas!E199+1,
IFERROR(INDEX(Datos!$A$2:$K$102,Formulas!E199,Formulas!F199+2),"")))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2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IFERROR(INDEX(Datos!$A$2:$K$102,Formulas!I198,RIGHT(Formulas!K198)+2),"")))</f>
        <v/>
      </c>
      <c r="J201" s="122" t="str" cm="1">
        <f t="array" ref="J201">IF(OR(Formulas!K199=0,Formulas!K199=""),"",HYPERLINK("["&amp;Archivo_Nombre&amp;"]Datos!"&amp;LEFT(SUBSTITUTE(ADDRESS(1,Formulas!K199+2),"$",""))&amp;Formulas!J199+1,
IFERROR(INDEX(Datos!$A$2:$K$102,Formulas!J199,Formulas!K199+2),"")))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2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IFERROR(INDEX(Datos!$A$2:$K$102,Formulas!N198,RIGHT(Formulas!P198)+2),"")))</f>
        <v/>
      </c>
      <c r="O201" s="122" t="str" cm="1">
        <f t="array" ref="O201">IF(OR(Formulas!P199=0,Formulas!P199=""),"",HYPERLINK("["&amp;Archivo_Nombre&amp;"]Datos!"&amp;LEFT(SUBSTITUTE(ADDRESS(1,Formulas!P199+2),"$",""))&amp;Formulas!O199+1,
IFERROR(INDEX(Datos!$A$2:$K$102,Formulas!O199,Formulas!P199+2),"")))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22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IFERROR(INDEX(Datos!$A$2:$K$102,Formulas!S198,RIGHT(Formulas!U198)+2),"")))</f>
        <v>0 días</v>
      </c>
      <c r="T201" s="122" t="str" cm="1">
        <f t="array" ref="T201">IF(OR(Formulas!U199=0,Formulas!U199=""),"",HYPERLINK("["&amp;Archivo_Nombre&amp;"]Datos!"&amp;LEFT(SUBSTITUTE(ADDRESS(1,Formulas!U199+2),"$",""))&amp;Formulas!T199+1,
IFERROR(INDEX(Datos!$A$2:$K$102,Formulas!T199,Formulas!U199+2),"")))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2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IFERROR(INDEX(Datos!$A$2:$K$102,Formulas!X198,RIGHT(Formulas!Z198)+2),"")))</f>
        <v/>
      </c>
      <c r="Y201" s="122" t="str" cm="1">
        <f t="array" ref="Y201">IF(OR(Formulas!Z199=0,Formulas!Z199=""),"",HYPERLINK("["&amp;Archivo_Nombre&amp;"]Datos!"&amp;LEFT(SUBSTITUTE(ADDRESS(1,Formulas!Z199+2),"$",""))&amp;Formulas!Y199+1,
IFERROR(INDEX(Datos!$A$2:$K$102,Formulas!Y199,Formulas!Z199+2),"")))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2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IFERROR(INDEX(Datos!$A$2:$K$102,Formulas!AC198,RIGHT(Formulas!AE198)+2),"")))</f>
        <v/>
      </c>
      <c r="AD201" s="122" t="str" cm="1">
        <f t="array" ref="AD201">IF(OR(Formulas!AE199=0,Formulas!AE199=""),"",HYPERLINK("["&amp;Archivo_Nombre&amp;"]Datos!"&amp;LEFT(SUBSTITUTE(ADDRESS(1,Formulas!AE199+2),"$",""))&amp;Formulas!AD199+1,
IFERROR(INDEX(Datos!$A$2:$K$102,Formulas!AD199,Formulas!AE199+2),"")))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2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IFERROR(INDEX(Datos!$A$2:$K$102,Formulas!AH198,RIGHT(Formulas!AJ198)+2),"")))</f>
        <v/>
      </c>
      <c r="AI201" s="122" t="str" cm="1">
        <f t="array" ref="AI201">IF(OR(Formulas!AJ199=0,Formulas!AJ199=""),"",HYPERLINK("["&amp;Archivo_Nombre&amp;"]Datos!"&amp;LEFT(SUBSTITUTE(ADDRESS(1,Formulas!AJ199+2),"$",""))&amp;Formulas!AI199+1,
IFERROR(INDEX(Datos!$A$2:$K$102,Formulas!AI199,Formulas!AJ199+2),"")))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2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IFERROR(INDEX(Datos!$A$2:$K$102,Formulas!AM198,RIGHT(Formulas!AO198)+2),"")))</f>
        <v/>
      </c>
      <c r="AN201" s="122" t="str" cm="1">
        <f t="array" ref="AN201">IF(OR(Formulas!AO199=0,Formulas!AO199=""),"",HYPERLINK("["&amp;Archivo_Nombre&amp;"]Datos!"&amp;LEFT(SUBSTITUTE(ADDRESS(1,Formulas!AO199+2),"$",""))&amp;Formulas!AN199+1,
IFERROR(INDEX(Datos!$A$2:$K$102,Formulas!AN199,Formulas!AO199+2),"")))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2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IFERROR(INDEX(Datos!$A$2:$K$102,Formulas!AR198,RIGHT(Formulas!AT198)+2),"")))</f>
        <v/>
      </c>
      <c r="AS201" s="122" t="str" cm="1">
        <f t="array" ref="AS201">IF(OR(Formulas!AT199=0,Formulas!AT199=""),"",HYPERLINK("["&amp;Archivo_Nombre&amp;"]Datos!"&amp;LEFT(SUBSTITUTE(ADDRESS(1,Formulas!AT199+2),"$",""))&amp;Formulas!AS199+1,
IFERROR(INDEX(Datos!$A$2:$K$102,Formulas!AS199,Formulas!AT199+2),"")))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2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IFERROR(INDEX(Datos!$A$2:$K$102,Formulas!AW198,RIGHT(Formulas!AY198)+2),"")))</f>
        <v/>
      </c>
      <c r="AX201" s="122" t="str" cm="1">
        <f t="array" ref="AX201">IF(OR(Formulas!AY199=0,Formulas!AY199=""),"",HYPERLINK("["&amp;Archivo_Nombre&amp;"]Datos!"&amp;LEFT(SUBSTITUTE(ADDRESS(1,Formulas!AY199+2),"$",""))&amp;Formulas!AX199+1,
IFERROR(INDEX(Datos!$A$2:$K$102,Formulas!AX199,Formulas!AY199+2),"")))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9" priority="1" stopIfTrue="1">
      <formula>AND(B6=miCabeceraRetraso&amp;":",IFERROR(--LEFT(C6,FIND(" ",C6)-1),0)&gt;0)</formula>
    </cfRule>
    <cfRule type="expression" dxfId="18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7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2"/>
  <sheetViews>
    <sheetView showGridLines="0" tabSelected="1" zoomScale="70" zoomScaleNormal="70" workbookViewId="0">
      <pane ySplit="1" topLeftCell="A12" activePane="bottomLeft" state="frozen"/>
      <selection pane="bottomLeft" activeCell="J12" sqref="J12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3" width="45.1796875" style="3" customWidth="1"/>
    <col min="4" max="4" width="45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2</v>
      </c>
      <c r="B2" s="92" t="s">
        <v>3</v>
      </c>
      <c r="C2" s="120" t="s">
        <v>4</v>
      </c>
      <c r="D2" s="102" t="s">
        <v>5</v>
      </c>
      <c r="E2" s="103">
        <v>45787</v>
      </c>
      <c r="F2" s="93">
        <v>45940</v>
      </c>
      <c r="G2" s="93">
        <v>45940</v>
      </c>
      <c r="H2" s="43" t="str">
        <f>IF(Datos!$G2&gt;0,Datos!$G2-Datos!$E2+1 &amp; " " &amp; Idiomas!$A$29,"")</f>
        <v>154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2</v>
      </c>
      <c r="B3" s="95" t="s">
        <v>7</v>
      </c>
      <c r="C3" s="3" t="s">
        <v>8</v>
      </c>
      <c r="D3" s="104" t="s">
        <v>9</v>
      </c>
      <c r="E3" s="105">
        <v>45940</v>
      </c>
      <c r="F3" s="96">
        <v>45940</v>
      </c>
      <c r="G3" s="96">
        <v>45940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10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7</v>
      </c>
      <c r="C4" s="92" t="s">
        <v>11</v>
      </c>
      <c r="D4" s="92" t="s">
        <v>12</v>
      </c>
      <c r="E4" s="103">
        <v>45940</v>
      </c>
      <c r="F4" s="93">
        <v>45940</v>
      </c>
      <c r="G4" s="93">
        <v>45940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7</v>
      </c>
      <c r="C5" s="3" t="s">
        <v>13</v>
      </c>
      <c r="D5" s="95" t="s">
        <v>14</v>
      </c>
      <c r="E5" s="96">
        <v>45941</v>
      </c>
      <c r="F5" s="96">
        <v>45941</v>
      </c>
      <c r="G5" s="96">
        <v>45941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10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2</v>
      </c>
      <c r="B6" s="92" t="s">
        <v>7</v>
      </c>
      <c r="C6" s="107" t="s">
        <v>15</v>
      </c>
      <c r="D6" s="102" t="s">
        <v>16</v>
      </c>
      <c r="E6" s="93">
        <v>45941</v>
      </c>
      <c r="F6" s="93">
        <v>45941</v>
      </c>
      <c r="G6" s="93">
        <v>45941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17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2</v>
      </c>
      <c r="B7" s="95" t="s">
        <v>18</v>
      </c>
      <c r="C7" s="106" t="s">
        <v>19</v>
      </c>
      <c r="D7" s="95" t="s">
        <v>20</v>
      </c>
      <c r="E7" s="96">
        <v>45950</v>
      </c>
      <c r="F7" s="96">
        <v>45950</v>
      </c>
      <c r="G7" s="96">
        <v>45950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6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29" x14ac:dyDescent="0.35">
      <c r="A8" s="91" t="s">
        <v>2</v>
      </c>
      <c r="B8" s="92" t="s">
        <v>18</v>
      </c>
      <c r="C8" s="109" t="s">
        <v>21</v>
      </c>
      <c r="D8" s="102" t="s">
        <v>22</v>
      </c>
      <c r="E8" s="110">
        <v>45950</v>
      </c>
      <c r="F8" s="93">
        <v>45950</v>
      </c>
      <c r="G8" s="110">
        <v>45950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17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18</v>
      </c>
      <c r="C9" s="106" t="s">
        <v>23</v>
      </c>
      <c r="D9" s="95" t="s">
        <v>24</v>
      </c>
      <c r="E9" s="96">
        <v>45951</v>
      </c>
      <c r="F9" s="96">
        <v>45951</v>
      </c>
      <c r="G9" s="96">
        <v>45951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2</v>
      </c>
      <c r="B10" s="92" t="s">
        <v>18</v>
      </c>
      <c r="C10" s="107" t="s">
        <v>26</v>
      </c>
      <c r="D10" s="92" t="s">
        <v>27</v>
      </c>
      <c r="E10" s="93">
        <v>45952</v>
      </c>
      <c r="F10" s="93">
        <v>45953</v>
      </c>
      <c r="G10" s="93">
        <v>45953</v>
      </c>
      <c r="H10" s="43" t="str">
        <f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2</v>
      </c>
      <c r="B11" s="95" t="s">
        <v>7</v>
      </c>
      <c r="C11" s="106" t="s">
        <v>28</v>
      </c>
      <c r="D11" s="95" t="s">
        <v>29</v>
      </c>
      <c r="E11" s="97">
        <v>45953</v>
      </c>
      <c r="F11" s="96">
        <v>45953</v>
      </c>
      <c r="G11" s="96">
        <v>45953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9" x14ac:dyDescent="0.35">
      <c r="A12" s="91" t="s">
        <v>2</v>
      </c>
      <c r="B12" s="92" t="s">
        <v>7</v>
      </c>
      <c r="C12" s="107" t="s">
        <v>30</v>
      </c>
      <c r="D12" s="102" t="s">
        <v>31</v>
      </c>
      <c r="E12" s="98">
        <v>45953</v>
      </c>
      <c r="F12" s="93">
        <v>45953</v>
      </c>
      <c r="G12" s="93">
        <v>45953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10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5">
      <c r="A13" s="94" t="s">
        <v>2</v>
      </c>
      <c r="B13" s="95" t="s">
        <v>7</v>
      </c>
      <c r="C13" s="108" t="s">
        <v>32</v>
      </c>
      <c r="D13" s="104" t="s">
        <v>33</v>
      </c>
      <c r="E13" s="96">
        <v>45953</v>
      </c>
      <c r="F13" s="96">
        <v>45953</v>
      </c>
      <c r="G13" s="96">
        <v>45953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10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9" x14ac:dyDescent="0.35">
      <c r="A14" s="91" t="s">
        <v>2</v>
      </c>
      <c r="B14" s="92" t="s">
        <v>3</v>
      </c>
      <c r="C14" s="107" t="s">
        <v>34</v>
      </c>
      <c r="D14" s="102" t="s">
        <v>35</v>
      </c>
      <c r="E14" s="110">
        <v>45960</v>
      </c>
      <c r="F14" s="93">
        <v>45960</v>
      </c>
      <c r="G14" s="110">
        <v>45960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17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2</v>
      </c>
      <c r="B15" s="95" t="s">
        <v>3</v>
      </c>
      <c r="C15" s="106" t="s">
        <v>36</v>
      </c>
      <c r="D15" s="95" t="s">
        <v>37</v>
      </c>
      <c r="E15" s="111">
        <v>45961</v>
      </c>
      <c r="F15" s="96">
        <v>45961</v>
      </c>
      <c r="G15" s="111">
        <v>45961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46.5" x14ac:dyDescent="0.35">
      <c r="A16" s="91" t="s">
        <v>2</v>
      </c>
      <c r="B16" s="92" t="s">
        <v>3</v>
      </c>
      <c r="C16" s="119" t="s">
        <v>38</v>
      </c>
      <c r="D16" s="102" t="s">
        <v>39</v>
      </c>
      <c r="E16" s="110">
        <v>45961</v>
      </c>
      <c r="F16" s="110">
        <v>45961</v>
      </c>
      <c r="G16" s="110">
        <v>45961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40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9" x14ac:dyDescent="0.35">
      <c r="A17" s="94" t="s">
        <v>2</v>
      </c>
      <c r="B17" s="95" t="s">
        <v>3</v>
      </c>
      <c r="C17" s="108" t="s">
        <v>41</v>
      </c>
      <c r="D17" s="104" t="s">
        <v>39</v>
      </c>
      <c r="E17" s="111">
        <v>45961</v>
      </c>
      <c r="F17" s="96">
        <v>45961</v>
      </c>
      <c r="G17" s="96">
        <v>45961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40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29" x14ac:dyDescent="0.35">
      <c r="A18" s="91" t="s">
        <v>2</v>
      </c>
      <c r="B18" s="92" t="s">
        <v>3</v>
      </c>
      <c r="C18" s="107" t="s">
        <v>42</v>
      </c>
      <c r="D18" s="92" t="s">
        <v>39</v>
      </c>
      <c r="E18" s="110">
        <v>45961</v>
      </c>
      <c r="F18" s="110">
        <v>45961</v>
      </c>
      <c r="G18" s="110">
        <v>45961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40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2</v>
      </c>
      <c r="B19" s="95" t="s">
        <v>18</v>
      </c>
      <c r="C19" s="106" t="s">
        <v>43</v>
      </c>
      <c r="D19" s="104" t="s">
        <v>44</v>
      </c>
      <c r="E19" s="111">
        <v>45994</v>
      </c>
      <c r="F19" s="111">
        <v>45999</v>
      </c>
      <c r="G19" s="111">
        <v>45999</v>
      </c>
      <c r="H19" s="45" t="str">
        <f>IF(Datos!$G19&gt;0,Datos!$G19-Datos!$E19+1 &amp; " " &amp; Idiomas!$A$29,"")</f>
        <v>6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29" x14ac:dyDescent="0.35">
      <c r="A20" s="91" t="s">
        <v>2</v>
      </c>
      <c r="B20" s="92" t="s">
        <v>18</v>
      </c>
      <c r="C20" s="107" t="s">
        <v>45</v>
      </c>
      <c r="D20" s="92" t="s">
        <v>46</v>
      </c>
      <c r="E20" s="110">
        <v>45994</v>
      </c>
      <c r="F20" s="110">
        <v>45999</v>
      </c>
      <c r="G20" s="110">
        <v>45999</v>
      </c>
      <c r="H20" s="43" t="str">
        <f>IF(Datos!$G20&gt;0,Datos!$G20-Datos!$E20+1 &amp; " " &amp; Idiomas!$A$29,"")</f>
        <v>6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6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9" x14ac:dyDescent="0.35">
      <c r="A21" s="94" t="s">
        <v>2</v>
      </c>
      <c r="B21" s="95" t="s">
        <v>18</v>
      </c>
      <c r="C21" s="108" t="s">
        <v>47</v>
      </c>
      <c r="D21" s="104" t="s">
        <v>48</v>
      </c>
      <c r="E21" s="111">
        <v>45994</v>
      </c>
      <c r="F21" s="111">
        <v>45999</v>
      </c>
      <c r="G21" s="111">
        <v>45999</v>
      </c>
      <c r="H21" s="45" t="str">
        <f>IF(Datos!$G21&gt;0,Datos!$G21-Datos!$E21+1 &amp; " " &amp; Idiomas!$A$29,"")</f>
        <v>6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29" x14ac:dyDescent="0.35">
      <c r="A22" s="91" t="s">
        <v>2</v>
      </c>
      <c r="B22" s="92" t="s">
        <v>18</v>
      </c>
      <c r="C22" s="107" t="s">
        <v>49</v>
      </c>
      <c r="D22" s="92" t="s">
        <v>50</v>
      </c>
      <c r="E22" s="110">
        <v>45994</v>
      </c>
      <c r="F22" s="110">
        <v>45999</v>
      </c>
      <c r="G22" s="110">
        <v>45999</v>
      </c>
      <c r="H22" s="43" t="str">
        <f>IF(Datos!$G22&gt;0,Datos!$G22-Datos!$E22+1 &amp; " " &amp; Idiomas!$A$29,"")</f>
        <v>6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2</v>
      </c>
      <c r="B23" s="95" t="s">
        <v>18</v>
      </c>
      <c r="C23" s="106" t="s">
        <v>51</v>
      </c>
      <c r="D23" s="95" t="s">
        <v>52</v>
      </c>
      <c r="E23" s="111">
        <v>45994</v>
      </c>
      <c r="F23" s="111">
        <v>45999</v>
      </c>
      <c r="G23" s="111">
        <v>45999</v>
      </c>
      <c r="H23" s="45" t="str">
        <f>IF(Datos!$G23&gt;0,Datos!$G23-Datos!$E23+1 &amp; " " &amp; Idiomas!$A$29,"")</f>
        <v>6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2</v>
      </c>
      <c r="B24" s="92" t="s">
        <v>18</v>
      </c>
      <c r="C24" s="107" t="s">
        <v>53</v>
      </c>
      <c r="D24" s="92" t="s">
        <v>54</v>
      </c>
      <c r="E24" s="110">
        <v>45994</v>
      </c>
      <c r="F24" s="110">
        <v>45999</v>
      </c>
      <c r="G24" s="110">
        <v>45999</v>
      </c>
      <c r="H24" s="43" t="str">
        <f>IF(Datos!$G24&gt;0,Datos!$G24-Datos!$E24+1 &amp; " " &amp; Idiomas!$A$29,"")</f>
        <v>6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29" x14ac:dyDescent="0.35">
      <c r="A25" s="94" t="s">
        <v>2</v>
      </c>
      <c r="B25" s="95" t="s">
        <v>18</v>
      </c>
      <c r="C25" s="108" t="s">
        <v>55</v>
      </c>
      <c r="D25" s="95" t="s">
        <v>56</v>
      </c>
      <c r="E25" s="111">
        <v>45994</v>
      </c>
      <c r="F25" s="111">
        <v>45999</v>
      </c>
      <c r="G25" s="111">
        <v>45999</v>
      </c>
      <c r="H25" s="45" t="str">
        <f>IF(Datos!$G25&gt;0,Datos!$G25-Datos!$E25+1 &amp; " " &amp; Idiomas!$A$29,"")</f>
        <v>6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6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2</v>
      </c>
      <c r="B26" s="92" t="s">
        <v>18</v>
      </c>
      <c r="C26" s="109" t="s">
        <v>57</v>
      </c>
      <c r="D26" s="92" t="s">
        <v>58</v>
      </c>
      <c r="E26" s="110">
        <v>45994</v>
      </c>
      <c r="F26" s="110">
        <v>45999</v>
      </c>
      <c r="G26" s="110">
        <v>45999</v>
      </c>
      <c r="H26" s="43" t="str">
        <f>IF(Datos!$G26&gt;0,Datos!$G26-Datos!$E26+1 &amp; " " &amp; Idiomas!$A$29,"")</f>
        <v>6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2</v>
      </c>
      <c r="B27" s="95" t="s">
        <v>3</v>
      </c>
      <c r="C27" s="106" t="s">
        <v>59</v>
      </c>
      <c r="D27" s="95" t="s">
        <v>39</v>
      </c>
      <c r="E27" s="111">
        <v>45817</v>
      </c>
      <c r="F27" s="111">
        <v>45817</v>
      </c>
      <c r="G27" s="111">
        <v>45817</v>
      </c>
      <c r="H27" s="45" t="str">
        <f>IF(Datos!$G27&gt;0,Datos!$G27-Datos!$E27+1 &amp; " " &amp; Idiomas!$A$29,"")</f>
        <v>1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40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2</v>
      </c>
      <c r="B28" s="92" t="s">
        <v>18</v>
      </c>
      <c r="C28" s="107" t="s">
        <v>60</v>
      </c>
      <c r="D28" s="92" t="s">
        <v>61</v>
      </c>
      <c r="E28" s="110">
        <v>45994</v>
      </c>
      <c r="F28" s="110">
        <v>45999</v>
      </c>
      <c r="G28" s="110">
        <v>45999</v>
      </c>
      <c r="H28" s="43" t="str">
        <f>IF(Datos!$G28&gt;0,Datos!$G28-Datos!$E28+1 &amp; " " &amp; Idiomas!$A$29,"")</f>
        <v>6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17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29" x14ac:dyDescent="0.35">
      <c r="A29" s="94" t="s">
        <v>2</v>
      </c>
      <c r="B29" s="95" t="s">
        <v>18</v>
      </c>
      <c r="C29" s="108" t="s">
        <v>62</v>
      </c>
      <c r="D29" s="95" t="s">
        <v>63</v>
      </c>
      <c r="E29" s="111">
        <v>45994</v>
      </c>
      <c r="F29" s="111">
        <v>45999</v>
      </c>
      <c r="G29" s="111">
        <v>45999</v>
      </c>
      <c r="H29" s="45" t="str">
        <f>IF(Datos!$G29&gt;0,Datos!$G29-Datos!$E29+1 &amp; " " &amp; Idiomas!$A$29,"")</f>
        <v>6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17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29" x14ac:dyDescent="0.35">
      <c r="A30" s="91" t="s">
        <v>2</v>
      </c>
      <c r="B30" s="92" t="s">
        <v>18</v>
      </c>
      <c r="C30" s="107" t="s">
        <v>64</v>
      </c>
      <c r="D30" s="92" t="s">
        <v>65</v>
      </c>
      <c r="E30" s="110">
        <v>45994</v>
      </c>
      <c r="F30" s="110">
        <v>46000</v>
      </c>
      <c r="G30" s="110">
        <v>45999</v>
      </c>
      <c r="H30" s="43" t="str">
        <f>IF(Datos!$G30&gt;0,Datos!$G30-Datos!$E30+1 &amp; " " &amp; Idiomas!$A$29,"")</f>
        <v>6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17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29" x14ac:dyDescent="0.35">
      <c r="A31" s="94" t="s">
        <v>2</v>
      </c>
      <c r="B31" s="95" t="s">
        <v>18</v>
      </c>
      <c r="C31" s="108" t="s">
        <v>66</v>
      </c>
      <c r="D31" s="95" t="s">
        <v>67</v>
      </c>
      <c r="E31" s="111">
        <v>45994</v>
      </c>
      <c r="F31" s="111">
        <v>45999</v>
      </c>
      <c r="G31" s="111">
        <v>45999</v>
      </c>
      <c r="H31" s="45" t="str">
        <f>IF(Datos!$G31&gt;0,Datos!$G31-Datos!$E31+1 &amp; " " &amp; Idiomas!$A$29,"")</f>
        <v>6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17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2</v>
      </c>
      <c r="B32" s="92" t="s">
        <v>18</v>
      </c>
      <c r="C32" s="109" t="s">
        <v>68</v>
      </c>
      <c r="D32" s="92" t="s">
        <v>69</v>
      </c>
      <c r="E32" s="110">
        <v>45995</v>
      </c>
      <c r="F32" s="110">
        <v>46000</v>
      </c>
      <c r="G32" s="110">
        <v>46000</v>
      </c>
      <c r="H32" s="43" t="str">
        <f>IF(Datos!$G32&gt;0,Datos!$G32-Datos!$E32+1 &amp; " " &amp; Idiomas!$A$29,"")</f>
        <v>6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6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2</v>
      </c>
      <c r="B33" s="95" t="s">
        <v>18</v>
      </c>
      <c r="C33" s="108" t="s">
        <v>70</v>
      </c>
      <c r="D33" s="95" t="s">
        <v>71</v>
      </c>
      <c r="E33" s="111">
        <v>45996</v>
      </c>
      <c r="F33" s="111">
        <v>46001</v>
      </c>
      <c r="G33" s="111">
        <v>46001</v>
      </c>
      <c r="H33" s="45" t="str">
        <f>IF(Datos!$G33&gt;0,Datos!$G33-Datos!$E33+1 &amp; " " &amp; Idiomas!$A$29,"")</f>
        <v>6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6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2</v>
      </c>
      <c r="B34" s="92" t="s">
        <v>18</v>
      </c>
      <c r="C34" s="109" t="s">
        <v>72</v>
      </c>
      <c r="D34" s="92" t="s">
        <v>73</v>
      </c>
      <c r="E34" s="110">
        <v>45997</v>
      </c>
      <c r="F34" s="110">
        <v>46002</v>
      </c>
      <c r="G34" s="110">
        <v>46002</v>
      </c>
      <c r="H34" s="43" t="str">
        <f>IF(Datos!$G34&gt;0,Datos!$G34-Datos!$E34+1 &amp; " " &amp; Idiomas!$A$29,"")</f>
        <v>6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6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2</v>
      </c>
      <c r="B35" s="95" t="s">
        <v>18</v>
      </c>
      <c r="C35" s="106" t="s">
        <v>74</v>
      </c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25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5">
      <c r="A36" s="91" t="s">
        <v>2</v>
      </c>
      <c r="B36" s="92" t="s">
        <v>3</v>
      </c>
      <c r="C36" s="109" t="s">
        <v>75</v>
      </c>
      <c r="D36" s="102" t="s">
        <v>39</v>
      </c>
      <c r="E36" s="110">
        <v>45838</v>
      </c>
      <c r="F36" s="110">
        <v>45838</v>
      </c>
      <c r="G36" s="110">
        <v>45838</v>
      </c>
      <c r="H36" s="43" t="str">
        <f>IF(Datos!$G36&gt;0,Datos!$G36-Datos!$E36+1 &amp; " " &amp; Idiomas!$A$29,"")</f>
        <v>1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40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5">
      <c r="A37" s="94" t="s">
        <v>2</v>
      </c>
      <c r="B37" s="95" t="s">
        <v>7</v>
      </c>
      <c r="C37" s="106" t="s">
        <v>76</v>
      </c>
      <c r="D37" s="95" t="s">
        <v>77</v>
      </c>
      <c r="E37" s="111">
        <v>45847</v>
      </c>
      <c r="F37" s="111">
        <v>45849</v>
      </c>
      <c r="G37" s="111">
        <v>45849</v>
      </c>
      <c r="H37" s="45" t="str">
        <f>IF(Datos!$G37&gt;0,Datos!$G37-Datos!$E37+1 &amp; " " &amp; Idiomas!$A$29,"")</f>
        <v>3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10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5">
      <c r="A38" s="91" t="s">
        <v>2</v>
      </c>
      <c r="B38" s="92" t="s">
        <v>7</v>
      </c>
      <c r="C38" s="109" t="s">
        <v>332</v>
      </c>
      <c r="D38" s="102" t="s">
        <v>339</v>
      </c>
      <c r="E38" s="110">
        <v>45847</v>
      </c>
      <c r="F38" s="110">
        <v>45847</v>
      </c>
      <c r="G38" s="110">
        <v>45847</v>
      </c>
      <c r="H38" s="43" t="str">
        <f>IF(Datos!$G38&gt;0,Datos!$G38-Datos!$E38+1 &amp; " " &amp; Idiomas!$A$29,"")</f>
        <v>1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10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5">
      <c r="A39" s="94" t="s">
        <v>2</v>
      </c>
      <c r="B39" s="95" t="s">
        <v>7</v>
      </c>
      <c r="C39" s="106" t="s">
        <v>333</v>
      </c>
      <c r="D39" s="104" t="s">
        <v>340</v>
      </c>
      <c r="E39" s="111">
        <v>45848</v>
      </c>
      <c r="F39" s="111">
        <v>45848</v>
      </c>
      <c r="G39" s="111">
        <v>45848</v>
      </c>
      <c r="H39" s="45" t="str">
        <f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10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ht="43.5" x14ac:dyDescent="0.35">
      <c r="A40" s="91" t="s">
        <v>2</v>
      </c>
      <c r="B40" s="92" t="s">
        <v>7</v>
      </c>
      <c r="C40" s="109" t="s">
        <v>334</v>
      </c>
      <c r="D40" s="102" t="s">
        <v>78</v>
      </c>
      <c r="E40" s="110">
        <v>45849</v>
      </c>
      <c r="F40" s="110">
        <v>45850</v>
      </c>
      <c r="G40" s="110">
        <v>45850</v>
      </c>
      <c r="H40" s="43" t="str">
        <f>IF(Datos!$G40&gt;0,Datos!$G40-Datos!$E40+1 &amp; " " &amp; Idiomas!$A$29,"")</f>
        <v>2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10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5">
      <c r="A41" s="94" t="s">
        <v>2</v>
      </c>
      <c r="B41" s="95" t="s">
        <v>7</v>
      </c>
      <c r="C41" s="106" t="s">
        <v>79</v>
      </c>
      <c r="D41" s="104" t="s">
        <v>80</v>
      </c>
      <c r="E41" s="111">
        <v>45851</v>
      </c>
      <c r="F41" s="111">
        <v>45863</v>
      </c>
      <c r="G41" s="111">
        <v>45863</v>
      </c>
      <c r="H41" s="45" t="str">
        <f>IF(Datos!$G41&gt;0,Datos!$G41-Datos!$E41+1 &amp; " " &amp; Idiomas!$A$29,"")</f>
        <v>13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10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5">
      <c r="A42" s="91" t="s">
        <v>2</v>
      </c>
      <c r="B42" s="92" t="s">
        <v>7</v>
      </c>
      <c r="C42" s="109" t="s">
        <v>335</v>
      </c>
      <c r="D42" s="102" t="s">
        <v>341</v>
      </c>
      <c r="E42" s="110">
        <v>45851</v>
      </c>
      <c r="F42" s="110">
        <v>45853</v>
      </c>
      <c r="G42" s="110">
        <v>45853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10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ht="43.5" x14ac:dyDescent="0.35">
      <c r="A43" s="94" t="s">
        <v>2</v>
      </c>
      <c r="B43" s="95" t="s">
        <v>7</v>
      </c>
      <c r="C43" s="95" t="s">
        <v>336</v>
      </c>
      <c r="D43" s="104" t="s">
        <v>81</v>
      </c>
      <c r="E43" s="96">
        <v>45854</v>
      </c>
      <c r="F43" s="96">
        <v>45857</v>
      </c>
      <c r="G43" s="96">
        <v>45857</v>
      </c>
      <c r="H43" s="45" t="str">
        <f>IF(Datos!$G43&gt;0,Datos!$G43-Datos!$E43+1 &amp; " " &amp; Idiomas!$A$29,"")</f>
        <v>4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10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ht="29" x14ac:dyDescent="0.35">
      <c r="A44" s="91" t="s">
        <v>2</v>
      </c>
      <c r="B44" s="92" t="s">
        <v>7</v>
      </c>
      <c r="C44" s="92" t="s">
        <v>337</v>
      </c>
      <c r="D44" s="102" t="s">
        <v>82</v>
      </c>
      <c r="E44" s="93">
        <v>45858</v>
      </c>
      <c r="F44" s="93">
        <v>45860</v>
      </c>
      <c r="G44" s="93">
        <v>45860</v>
      </c>
      <c r="H44" s="43" t="str">
        <f>IF(Datos!$G44&gt;0,Datos!$G44-Datos!$E44+1 &amp; " " &amp; Idiomas!$A$29,"")</f>
        <v>3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112" t="s">
        <v>10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ht="29" x14ac:dyDescent="0.35">
      <c r="A45" s="113" t="s">
        <v>2</v>
      </c>
      <c r="B45" s="92" t="s">
        <v>7</v>
      </c>
      <c r="C45" s="114" t="s">
        <v>338</v>
      </c>
      <c r="D45" s="118" t="s">
        <v>83</v>
      </c>
      <c r="E45" s="115">
        <v>45861</v>
      </c>
      <c r="F45" s="115">
        <v>45863</v>
      </c>
      <c r="G45" s="115">
        <v>45863</v>
      </c>
      <c r="H45" s="116" t="str">
        <f>IF(Datos!$G45&gt;0,Datos!$G45-Datos!$E45+1 &amp; " " &amp; Idiomas!$A$29,"")</f>
        <v>3 días</v>
      </c>
      <c r="I45" s="116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114" t="s">
        <v>10</v>
      </c>
      <c r="K45" s="117" t="s">
        <v>84</v>
      </c>
    </row>
    <row r="46" spans="1:11" customFormat="1" ht="43.5" x14ac:dyDescent="0.35">
      <c r="A46" s="94" t="s">
        <v>2</v>
      </c>
      <c r="B46" s="95" t="s">
        <v>7</v>
      </c>
      <c r="C46" s="104" t="s">
        <v>85</v>
      </c>
      <c r="D46" s="95" t="s">
        <v>86</v>
      </c>
      <c r="E46" s="96">
        <v>45846</v>
      </c>
      <c r="F46" s="96">
        <v>45846</v>
      </c>
      <c r="G46" s="96">
        <v>45846</v>
      </c>
      <c r="H46" s="45" t="str">
        <f>IF(Datos!$G46&gt;0,Datos!$G46-Datos!$E46+1 &amp; " " &amp; Idiomas!$A$29,"")</f>
        <v>1 días</v>
      </c>
      <c r="I46" s="45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5" t="s">
        <v>25</v>
      </c>
      <c r="K46" s="117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ht="43.5" x14ac:dyDescent="0.35">
      <c r="A47" s="91" t="s">
        <v>2</v>
      </c>
      <c r="B47" s="92" t="s">
        <v>7</v>
      </c>
      <c r="C47" s="102" t="s">
        <v>87</v>
      </c>
      <c r="D47" s="92" t="s">
        <v>88</v>
      </c>
      <c r="E47" s="93">
        <v>45847</v>
      </c>
      <c r="F47" s="93">
        <v>45849</v>
      </c>
      <c r="G47" s="93">
        <v>45849</v>
      </c>
      <c r="H47" s="43" t="str">
        <f>IF(Datos!$G47&gt;0,Datos!$G47-Datos!$E47+1 &amp; " " &amp; Idiomas!$A$29,"")</f>
        <v>3 días</v>
      </c>
      <c r="I47" s="43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2" t="s">
        <v>6</v>
      </c>
      <c r="K47" s="44" t="str" cm="1">
        <f t="array" aca="1" ref="K47" ca="1">HYPERLINK("["&amp;Archivo_Nombre&amp;"]KANBAN!"&amp;IF(Tareas!$P46="","B2",Tareas!$P46),IF(Datos!$A47="","",Idiomas!$A$12&amp;" "&amp;ROW()-1))</f>
        <v>Tarea 46</v>
      </c>
    </row>
    <row r="48" spans="1:11" customFormat="1" ht="29" x14ac:dyDescent="0.35">
      <c r="A48" s="94" t="s">
        <v>2</v>
      </c>
      <c r="B48" s="95" t="s">
        <v>3</v>
      </c>
      <c r="C48" s="104" t="s">
        <v>89</v>
      </c>
      <c r="D48" s="95" t="s">
        <v>39</v>
      </c>
      <c r="E48" s="96">
        <v>46005</v>
      </c>
      <c r="F48" s="96">
        <v>46005</v>
      </c>
      <c r="G48" s="96">
        <v>46005</v>
      </c>
      <c r="H48" s="45" t="str">
        <f>IF(Datos!$G48&gt;0,Datos!$G48-Datos!$E48+1 &amp; " " &amp; Idiomas!$A$29,"")</f>
        <v>1 días</v>
      </c>
      <c r="I48" s="45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5" t="s">
        <v>40</v>
      </c>
      <c r="K48" s="46" t="str" cm="1">
        <f t="array" aca="1" ref="K48" ca="1">HYPERLINK("["&amp;Archivo_Nombre&amp;"]KANBAN!"&amp;IF(Tareas!$P47="","B2",Tareas!$P47),IF(Datos!$A48="","",Idiomas!$A$12&amp;" "&amp;ROW()-1))</f>
        <v>Tarea 47</v>
      </c>
    </row>
    <row r="49" spans="1:11" customFormat="1" x14ac:dyDescent="0.35">
      <c r="A49" s="91" t="s">
        <v>2</v>
      </c>
      <c r="B49" s="92" t="s">
        <v>3</v>
      </c>
      <c r="C49" s="102" t="s">
        <v>90</v>
      </c>
      <c r="D49" s="92" t="s">
        <v>39</v>
      </c>
      <c r="E49" s="93">
        <v>46005</v>
      </c>
      <c r="F49" s="93">
        <v>46005</v>
      </c>
      <c r="G49" s="93">
        <v>46005</v>
      </c>
      <c r="H49" s="43" t="str">
        <f>IF(Datos!$G49&gt;0,Datos!$G49-Datos!$E49+1 &amp; " " &amp; Idiomas!$A$29,"")</f>
        <v>1 días</v>
      </c>
      <c r="I49" s="43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2" t="s">
        <v>40</v>
      </c>
      <c r="K49" s="44" t="str" cm="1">
        <f t="array" aca="1" ref="K49" ca="1">HYPERLINK("["&amp;Archivo_Nombre&amp;"]KANBAN!"&amp;IF(Tareas!$P48="","B2",Tareas!$P48),IF(Datos!$A49="","",Idiomas!$A$12&amp;" "&amp;ROW()-1))</f>
        <v>Tarea 48</v>
      </c>
    </row>
    <row r="50" spans="1:11" customFormat="1" x14ac:dyDescent="0.35">
      <c r="A50" s="94" t="s">
        <v>2</v>
      </c>
      <c r="B50" s="95" t="s">
        <v>18</v>
      </c>
      <c r="C50" s="104" t="s">
        <v>91</v>
      </c>
      <c r="D50" s="95" t="s">
        <v>92</v>
      </c>
      <c r="E50" s="96">
        <v>46006</v>
      </c>
      <c r="F50" s="96">
        <v>46006</v>
      </c>
      <c r="G50" s="96">
        <v>46006</v>
      </c>
      <c r="H50" s="45" t="str">
        <f>IF(Datos!$G50&gt;0,Datos!$G50-Datos!$E50+1 &amp; " " &amp; Idiomas!$A$29,"")</f>
        <v>1 días</v>
      </c>
      <c r="I50" s="45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5" t="s">
        <v>25</v>
      </c>
      <c r="K50" s="46" t="str" cm="1">
        <f t="array" aca="1" ref="K50" ca="1">HYPERLINK("["&amp;Archivo_Nombre&amp;"]KANBAN!"&amp;IF(Tareas!$P49="","B2",Tareas!$P49),IF(Datos!$A50="","",Idiomas!$A$12&amp;" "&amp;ROW()-1))</f>
        <v>Tarea 49</v>
      </c>
    </row>
    <row r="51" spans="1:11" customFormat="1" x14ac:dyDescent="0.35">
      <c r="A51" s="91" t="s">
        <v>2</v>
      </c>
      <c r="B51" s="92" t="s">
        <v>3</v>
      </c>
      <c r="C51" s="102" t="s">
        <v>93</v>
      </c>
      <c r="D51" s="92" t="s">
        <v>39</v>
      </c>
      <c r="E51" s="93">
        <v>46007</v>
      </c>
      <c r="F51" s="93">
        <v>46007</v>
      </c>
      <c r="G51" s="93">
        <v>46007</v>
      </c>
      <c r="H51" s="43" t="str">
        <f>IF(Datos!$G51&gt;0,Datos!$G51-Datos!$E51+1 &amp; " " &amp; Idiomas!$A$29,"")</f>
        <v>1 días</v>
      </c>
      <c r="I51" s="43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2" t="s">
        <v>40</v>
      </c>
      <c r="K51" s="44" t="str" cm="1">
        <f t="array" aca="1" ref="K51" ca="1">HYPERLINK("["&amp;Archivo_Nombre&amp;"]KANBAN!"&amp;IF(Tareas!$P50="","B2",Tareas!$P50),IF(Datos!$A51="","",Idiomas!$A$12&amp;" "&amp;ROW()-1))</f>
        <v>Tarea 50</v>
      </c>
    </row>
    <row r="52" spans="1:11" customFormat="1" x14ac:dyDescent="0.35">
      <c r="A52" s="94" t="s">
        <v>2</v>
      </c>
      <c r="B52" s="95" t="s">
        <v>7</v>
      </c>
      <c r="C52" s="95" t="s">
        <v>94</v>
      </c>
      <c r="D52" s="95" t="s">
        <v>39</v>
      </c>
      <c r="E52" s="96">
        <v>46007</v>
      </c>
      <c r="F52" s="96">
        <v>46007</v>
      </c>
      <c r="G52" s="96">
        <v>46007</v>
      </c>
      <c r="H52" s="45" t="str">
        <f>IF(Datos!$G52&gt;0,Datos!$G52-Datos!$E52+1 &amp; " " &amp; Idiomas!$A$29,"")</f>
        <v>1 días</v>
      </c>
      <c r="I52" s="45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5" t="s">
        <v>25</v>
      </c>
      <c r="K52" s="46" t="str" cm="1">
        <f t="array" aca="1" ref="K52" ca="1">HYPERLINK("["&amp;Archivo_Nombre&amp;"]KANBAN!"&amp;IF(Tareas!$P51="","B2",Tareas!$P51),IF(Datos!$A52="","",Idiomas!$A$12&amp;" "&amp;ROW()-1))</f>
        <v>Tarea 51</v>
      </c>
    </row>
    <row r="53" spans="1:11" customFormat="1" ht="29" x14ac:dyDescent="0.35">
      <c r="A53" s="91" t="s">
        <v>2</v>
      </c>
      <c r="B53" s="92" t="s">
        <v>3</v>
      </c>
      <c r="C53" s="102" t="s">
        <v>95</v>
      </c>
      <c r="D53" s="92" t="s">
        <v>39</v>
      </c>
      <c r="E53" s="93">
        <v>46007</v>
      </c>
      <c r="F53" s="93">
        <v>46007</v>
      </c>
      <c r="G53" s="93">
        <v>46007</v>
      </c>
      <c r="H53" s="43" t="str">
        <f>IF(Datos!$G53&gt;0,Datos!$G53-Datos!$E53+1 &amp; " " &amp; Idiomas!$A$29,"")</f>
        <v>1 días</v>
      </c>
      <c r="I53" s="43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2" t="s">
        <v>40</v>
      </c>
      <c r="K53" s="44" t="str" cm="1">
        <f t="array" aca="1" ref="K53" ca="1">HYPERLINK("["&amp;Archivo_Nombre&amp;"]KANBAN!"&amp;IF(Tareas!$P52="","B2",Tareas!$P52),IF(Datos!$A53="","",Idiomas!$A$12&amp;" "&amp;ROW()-1))</f>
        <v>Tarea 52</v>
      </c>
    </row>
    <row r="54" spans="1:11" customFormat="1" ht="29" x14ac:dyDescent="0.35">
      <c r="A54" s="94" t="s">
        <v>2</v>
      </c>
      <c r="B54" s="95" t="s">
        <v>7</v>
      </c>
      <c r="C54" s="104" t="s">
        <v>96</v>
      </c>
      <c r="D54" s="95" t="s">
        <v>39</v>
      </c>
      <c r="E54" s="96">
        <v>46036</v>
      </c>
      <c r="F54" s="96">
        <v>46038</v>
      </c>
      <c r="G54" s="96">
        <v>46038</v>
      </c>
      <c r="H54" s="45" t="str">
        <f>IF(Datos!$G54&gt;0,Datos!$G54-Datos!$E54+1 &amp; " " &amp; Idiomas!$A$29,"")</f>
        <v>3 días</v>
      </c>
      <c r="I54" s="45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5" t="s">
        <v>40</v>
      </c>
      <c r="K54" s="46" t="str" cm="1">
        <f t="array" aca="1" ref="K54" ca="1">HYPERLINK("["&amp;Archivo_Nombre&amp;"]KANBAN!"&amp;IF(Tareas!$P53="","B2",Tareas!$P53),IF(Datos!$A54="","",Idiomas!$A$12&amp;" "&amp;ROW()-1))</f>
        <v>Tarea 53</v>
      </c>
    </row>
    <row r="55" spans="1:11" customFormat="1" x14ac:dyDescent="0.35">
      <c r="A55" s="91" t="s">
        <v>2</v>
      </c>
      <c r="B55" s="92" t="s">
        <v>7</v>
      </c>
      <c r="C55" s="92" t="s">
        <v>97</v>
      </c>
      <c r="D55" s="92" t="s">
        <v>98</v>
      </c>
      <c r="E55" s="93">
        <v>45994</v>
      </c>
      <c r="F55" s="93">
        <v>45999</v>
      </c>
      <c r="G55" s="93">
        <v>45999</v>
      </c>
      <c r="H55" s="43" t="str">
        <f>IF(Datos!$G55&gt;0,Datos!$G55-Datos!$E55+1 &amp; " " &amp; Idiomas!$A$29,"")</f>
        <v>6 días</v>
      </c>
      <c r="I55" s="43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2" t="s">
        <v>25</v>
      </c>
      <c r="K55" s="44" t="str" cm="1">
        <f t="array" aca="1" ref="K55" ca="1">HYPERLINK("["&amp;Archivo_Nombre&amp;"]KANBAN!"&amp;IF(Tareas!$P54="","B2",Tareas!$P54),IF(Datos!$A55="","",Idiomas!$A$12&amp;" "&amp;ROW()-1))</f>
        <v>Tarea 54</v>
      </c>
    </row>
    <row r="56" spans="1:11" customFormat="1" ht="29" x14ac:dyDescent="0.35">
      <c r="A56" s="94" t="s">
        <v>2</v>
      </c>
      <c r="B56" s="95" t="s">
        <v>3</v>
      </c>
      <c r="C56" s="104" t="s">
        <v>99</v>
      </c>
      <c r="D56" s="95" t="s">
        <v>100</v>
      </c>
      <c r="E56" s="96">
        <v>45994</v>
      </c>
      <c r="F56" s="96">
        <v>45999</v>
      </c>
      <c r="G56" s="96">
        <v>45999</v>
      </c>
      <c r="H56" s="45" t="str">
        <f>IF(Datos!$G56&gt;0,Datos!$G56-Datos!$E56+1 &amp; " " &amp; Idiomas!$A$29,"")</f>
        <v>6 días</v>
      </c>
      <c r="I56" s="45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5" t="s">
        <v>17</v>
      </c>
      <c r="K56" s="46" t="str" cm="1">
        <f t="array" aca="1" ref="K56" ca="1">HYPERLINK("["&amp;Archivo_Nombre&amp;"]KANBAN!"&amp;IF(Tareas!$P55="","B2",Tareas!$P55),IF(Datos!$A56="","",Idiomas!$A$12&amp;" "&amp;ROW()-1))</f>
        <v>Tarea 55</v>
      </c>
    </row>
    <row r="57" spans="1:11" customFormat="1" ht="29" x14ac:dyDescent="0.35">
      <c r="A57" s="91" t="s">
        <v>2</v>
      </c>
      <c r="B57" s="92" t="s">
        <v>18</v>
      </c>
      <c r="C57" s="102" t="s">
        <v>101</v>
      </c>
      <c r="D57" s="92" t="s">
        <v>102</v>
      </c>
      <c r="E57" s="93">
        <v>45994</v>
      </c>
      <c r="F57" s="93">
        <v>45999</v>
      </c>
      <c r="G57" s="93">
        <v>45999</v>
      </c>
      <c r="H57" s="43" t="str">
        <f>IF(Datos!$G57&gt;0,Datos!$G57-Datos!$E57+1 &amp; " " &amp; Idiomas!$A$29,"")</f>
        <v>6 días</v>
      </c>
      <c r="I57" s="43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2" t="s">
        <v>6</v>
      </c>
      <c r="K57" s="44" t="str" cm="1">
        <f t="array" aca="1" ref="K57" ca="1">HYPERLINK("["&amp;Archivo_Nombre&amp;"]KANBAN!"&amp;IF(Tareas!$P56="","B2",Tareas!$P56),IF(Datos!$A57="","",Idiomas!$A$12&amp;" "&amp;ROW()-1))</f>
        <v>Tarea 56</v>
      </c>
    </row>
    <row r="58" spans="1:11" customFormat="1" ht="29" x14ac:dyDescent="0.35">
      <c r="A58" s="94" t="s">
        <v>2</v>
      </c>
      <c r="B58" s="95" t="s">
        <v>18</v>
      </c>
      <c r="C58" s="104" t="s">
        <v>103</v>
      </c>
      <c r="D58" s="95" t="s">
        <v>104</v>
      </c>
      <c r="E58" s="96">
        <v>45994</v>
      </c>
      <c r="F58" s="96">
        <v>46001</v>
      </c>
      <c r="G58" s="96">
        <v>45999</v>
      </c>
      <c r="H58" s="45" t="str">
        <f>IF(Datos!$G58&gt;0,Datos!$G58-Datos!$E58+1 &amp; " " &amp; Idiomas!$A$29,"")</f>
        <v>6 días</v>
      </c>
      <c r="I58" s="45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5" t="s">
        <v>25</v>
      </c>
      <c r="K58" s="46" t="str" cm="1">
        <f t="array" aca="1" ref="K58" ca="1">HYPERLINK("["&amp;Archivo_Nombre&amp;"]KANBAN!"&amp;IF(Tareas!$P57="","B2",Tareas!$P57),IF(Datos!$A58="","",Idiomas!$A$12&amp;" "&amp;ROW()-1))</f>
        <v>Tarea 57</v>
      </c>
    </row>
    <row r="59" spans="1:11" customFormat="1" x14ac:dyDescent="0.35">
      <c r="A59" s="91" t="s">
        <v>2</v>
      </c>
      <c r="B59" s="92" t="s">
        <v>18</v>
      </c>
      <c r="C59" s="102" t="s">
        <v>91</v>
      </c>
      <c r="D59" s="92" t="s">
        <v>92</v>
      </c>
      <c r="E59" s="93">
        <v>45869</v>
      </c>
      <c r="F59" s="93">
        <v>45869</v>
      </c>
      <c r="G59" s="93">
        <v>45869</v>
      </c>
      <c r="H59" s="43" t="str">
        <f>IF(Datos!$G59&gt;0,Datos!$G59-Datos!$E59+1 &amp; " " &amp; Idiomas!$A$29,"")</f>
        <v>1 días</v>
      </c>
      <c r="I59" s="43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2" t="s">
        <v>17</v>
      </c>
      <c r="K59" s="44" t="str" cm="1">
        <f t="array" aca="1" ref="K59" ca="1">HYPERLINK("["&amp;Archivo_Nombre&amp;"]KANBAN!"&amp;IF(Tareas!$P58="","B2",Tareas!$P58),IF(Datos!$A59="","",Idiomas!$A$12&amp;" "&amp;ROW()-1))</f>
        <v>Tarea 58</v>
      </c>
    </row>
    <row r="60" spans="1:11" customFormat="1" x14ac:dyDescent="0.35">
      <c r="A60" s="94" t="s">
        <v>105</v>
      </c>
      <c r="B60" s="95" t="s">
        <v>18</v>
      </c>
      <c r="C60" s="95" t="s">
        <v>106</v>
      </c>
      <c r="D60" s="95" t="s">
        <v>107</v>
      </c>
      <c r="E60" s="96">
        <v>45870</v>
      </c>
      <c r="F60" s="96">
        <v>45870</v>
      </c>
      <c r="G60" s="96">
        <v>45870</v>
      </c>
      <c r="H60" s="45" t="str">
        <f>IF(Datos!$G60&gt;0,Datos!$G60-Datos!$E60+1 &amp; " " &amp; Idiomas!$A$29,"")</f>
        <v>1 días</v>
      </c>
      <c r="I60" s="45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5" t="s">
        <v>17</v>
      </c>
      <c r="K60" s="46" t="str" cm="1">
        <f t="array" aca="1" ref="K60" ca="1">HYPERLINK("["&amp;Archivo_Nombre&amp;"]KANBAN!"&amp;IF(Tareas!$P59="","B2",Tareas!$P59),IF(Datos!$A60="","",Idiomas!$A$12&amp;" "&amp;ROW()-1))</f>
        <v>Tarea 59</v>
      </c>
    </row>
    <row r="61" spans="1:11" customFormat="1" x14ac:dyDescent="0.35">
      <c r="A61" s="91" t="s">
        <v>105</v>
      </c>
      <c r="B61" s="92" t="s">
        <v>18</v>
      </c>
      <c r="C61" s="102" t="s">
        <v>108</v>
      </c>
      <c r="D61" s="92" t="s">
        <v>109</v>
      </c>
      <c r="E61" s="93">
        <v>46055</v>
      </c>
      <c r="F61" s="93">
        <v>46055</v>
      </c>
      <c r="G61" s="93">
        <v>46055</v>
      </c>
      <c r="H61" s="43" t="str">
        <f>IF(Datos!$G61&gt;0,Datos!$G61-Datos!$E61+1 &amp; " " &amp; Idiomas!$A$29,"")</f>
        <v>1 días</v>
      </c>
      <c r="I61" s="43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2" t="s">
        <v>40</v>
      </c>
      <c r="K61" s="44" t="str" cm="1">
        <f t="array" aca="1" ref="K61" ca="1">HYPERLINK("["&amp;Archivo_Nombre&amp;"]KANBAN!"&amp;IF(Tareas!$P60="","B2",Tareas!$P60),IF(Datos!$A61="","",Idiomas!$A$12&amp;" "&amp;ROW()-1))</f>
        <v>Tarea 60</v>
      </c>
    </row>
    <row r="62" spans="1:11" customFormat="1" x14ac:dyDescent="0.35">
      <c r="A62" s="94" t="s">
        <v>110</v>
      </c>
      <c r="B62" s="95" t="s">
        <v>7</v>
      </c>
      <c r="C62" s="95" t="s">
        <v>111</v>
      </c>
      <c r="D62" s="95" t="s">
        <v>112</v>
      </c>
      <c r="E62" s="96">
        <v>46000</v>
      </c>
      <c r="F62" s="96">
        <v>46043</v>
      </c>
      <c r="G62" s="96">
        <v>46001</v>
      </c>
      <c r="H62" s="45" t="str">
        <f>IF(Datos!$G62&gt;0,Datos!$G62-Datos!$E62+1 &amp; " " &amp; Idiomas!$A$29,"")</f>
        <v>2 días</v>
      </c>
      <c r="I62" s="45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5" t="s">
        <v>25</v>
      </c>
      <c r="K62" s="46" t="str" cm="1">
        <f t="array" aca="1" ref="K62" ca="1">HYPERLINK("["&amp;Archivo_Nombre&amp;"]KANBAN!"&amp;IF(Tareas!$P61="","B2",Tareas!$P61),IF(Datos!$A62="","",Idiomas!$A$12&amp;" "&amp;ROW()-1))</f>
        <v>Tarea 61</v>
      </c>
    </row>
    <row r="63" spans="1:11" customFormat="1" ht="29" x14ac:dyDescent="0.35">
      <c r="A63" s="91" t="s">
        <v>110</v>
      </c>
      <c r="B63" s="92" t="s">
        <v>7</v>
      </c>
      <c r="C63" s="102" t="s">
        <v>113</v>
      </c>
      <c r="D63" s="92" t="s">
        <v>112</v>
      </c>
      <c r="E63" s="93">
        <v>46000</v>
      </c>
      <c r="F63" s="93">
        <v>46043</v>
      </c>
      <c r="G63" s="93">
        <v>46001</v>
      </c>
      <c r="H63" s="43" t="str">
        <f>IF(Datos!$G63&gt;0,Datos!$G63-Datos!$E63+1 &amp; " " &amp; Idiomas!$A$29,"")</f>
        <v>2 días</v>
      </c>
      <c r="I63" s="43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2" t="s">
        <v>25</v>
      </c>
      <c r="K63" s="44" t="str" cm="1">
        <f t="array" aca="1" ref="K63" ca="1">HYPERLINK("["&amp;Archivo_Nombre&amp;"]KANBAN!"&amp;IF(Tareas!$P62="","B2",Tareas!$P62),IF(Datos!$A63="","",Idiomas!$A$12&amp;" "&amp;ROW()-1))</f>
        <v>Tarea 62</v>
      </c>
    </row>
    <row r="64" spans="1:11" customFormat="1" ht="29" x14ac:dyDescent="0.35">
      <c r="A64" s="94" t="s">
        <v>110</v>
      </c>
      <c r="B64" s="95" t="s">
        <v>18</v>
      </c>
      <c r="C64" s="104" t="s">
        <v>114</v>
      </c>
      <c r="D64" s="95"/>
      <c r="E64" s="96">
        <v>46001</v>
      </c>
      <c r="F64" s="96">
        <v>46043</v>
      </c>
      <c r="G64" s="96">
        <v>46002</v>
      </c>
      <c r="H64" s="45" t="str">
        <f>IF(Datos!$G64&gt;0,Datos!$G64-Datos!$E64+1 &amp; " " &amp; Idiomas!$A$29,"")</f>
        <v>2 días</v>
      </c>
      <c r="I64" s="45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5" t="s">
        <v>25</v>
      </c>
      <c r="K64" s="46" t="str" cm="1">
        <f t="array" aca="1" ref="K64" ca="1">HYPERLINK("["&amp;Archivo_Nombre&amp;"]KANBAN!"&amp;IF(Tareas!$P63="","B2",Tareas!$P63),IF(Datos!$A64="","",Idiomas!$A$12&amp;" "&amp;ROW()-1))</f>
        <v>Tarea 63</v>
      </c>
    </row>
    <row r="65" spans="1:11" customFormat="1" ht="29" x14ac:dyDescent="0.35">
      <c r="A65" s="91" t="s">
        <v>110</v>
      </c>
      <c r="B65" s="92" t="s">
        <v>18</v>
      </c>
      <c r="C65" s="102" t="s">
        <v>115</v>
      </c>
      <c r="D65" s="92"/>
      <c r="E65" s="93">
        <v>46002</v>
      </c>
      <c r="F65" s="93">
        <v>46043</v>
      </c>
      <c r="G65" s="93">
        <v>46003</v>
      </c>
      <c r="H65" s="43" t="str">
        <f>IF(Datos!$G65&gt;0,Datos!$G65-Datos!$E65+1 &amp; " " &amp; Idiomas!$A$29,"")</f>
        <v>2 días</v>
      </c>
      <c r="I65" s="43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>0 días</v>
      </c>
      <c r="J65" s="92" t="s">
        <v>25</v>
      </c>
      <c r="K65" s="44" t="str" cm="1">
        <f t="array" aca="1" ref="K65" ca="1">HYPERLINK("["&amp;Archivo_Nombre&amp;"]KANBAN!"&amp;IF(Tareas!$P64="","B2",Tareas!$P64),IF(Datos!$A65="","",Idiomas!$A$12&amp;" "&amp;ROW()-1))</f>
        <v>Tarea 64</v>
      </c>
    </row>
    <row r="66" spans="1:11" customFormat="1" x14ac:dyDescent="0.35">
      <c r="A66" s="94" t="s">
        <v>110</v>
      </c>
      <c r="B66" s="95" t="s">
        <v>7</v>
      </c>
      <c r="C66" s="104" t="s">
        <v>116</v>
      </c>
      <c r="D66" s="95"/>
      <c r="E66" s="96">
        <v>46002</v>
      </c>
      <c r="F66" s="96">
        <v>46043</v>
      </c>
      <c r="G66" s="96">
        <v>46003</v>
      </c>
      <c r="H66" s="45" t="str">
        <f>IF(Datos!$G66&gt;0,Datos!$G66-Datos!$E66+1 &amp; " " &amp; Idiomas!$A$29,"")</f>
        <v>2 días</v>
      </c>
      <c r="I66" s="45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>0 días</v>
      </c>
      <c r="J66" s="95" t="s">
        <v>25</v>
      </c>
      <c r="K66" s="46" t="str" cm="1">
        <f t="array" aca="1" ref="K66" ca="1">HYPERLINK("["&amp;Archivo_Nombre&amp;"]KANBAN!"&amp;IF(Tareas!$P65="","B2",Tareas!$P65),IF(Datos!$A66="","",Idiomas!$A$12&amp;" "&amp;ROW()-1))</f>
        <v>Tarea 65</v>
      </c>
    </row>
    <row r="67" spans="1:11" customFormat="1" x14ac:dyDescent="0.35">
      <c r="A67" s="91" t="s">
        <v>110</v>
      </c>
      <c r="B67" s="92" t="s">
        <v>7</v>
      </c>
      <c r="C67" s="102" t="s">
        <v>117</v>
      </c>
      <c r="D67" s="92"/>
      <c r="E67" s="93">
        <v>46003</v>
      </c>
      <c r="F67" s="93">
        <v>46043</v>
      </c>
      <c r="G67" s="93">
        <v>46043</v>
      </c>
      <c r="H67" s="43" t="str">
        <f>IF(Datos!$G67&gt;0,Datos!$G67-Datos!$E67+1 &amp; " " &amp; Idiomas!$A$29,"")</f>
        <v>41 días</v>
      </c>
      <c r="I67" s="43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>0 días</v>
      </c>
      <c r="J67" s="92" t="s">
        <v>25</v>
      </c>
      <c r="K67" s="44" t="str" cm="1">
        <f t="array" aca="1" ref="K67" ca="1">HYPERLINK("["&amp;Archivo_Nombre&amp;"]KANBAN!"&amp;IF(Tareas!$P66="","B2",Tareas!$P66),IF(Datos!$A67="","",Idiomas!$A$12&amp;" "&amp;ROW()-1))</f>
        <v>Tarea 66</v>
      </c>
    </row>
    <row r="68" spans="1:11" customFormat="1" x14ac:dyDescent="0.35">
      <c r="A68" s="94" t="s">
        <v>110</v>
      </c>
      <c r="B68" s="95" t="s">
        <v>7</v>
      </c>
      <c r="C68" s="104" t="s">
        <v>118</v>
      </c>
      <c r="D68" s="95"/>
      <c r="E68" s="96">
        <v>46036</v>
      </c>
      <c r="F68" s="96">
        <v>46050</v>
      </c>
      <c r="G68" s="96">
        <v>46043</v>
      </c>
      <c r="H68" s="45" t="str">
        <f>IF(Datos!$G68&gt;0,Datos!$G68-Datos!$E68+1 &amp; " " &amp; Idiomas!$A$29,"")</f>
        <v>8 días</v>
      </c>
      <c r="I68" s="45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>0 días</v>
      </c>
      <c r="J68" s="95" t="s">
        <v>25</v>
      </c>
      <c r="K68" s="46" t="str" cm="1">
        <f t="array" aca="1" ref="K68" ca="1">HYPERLINK("["&amp;Archivo_Nombre&amp;"]KANBAN!"&amp;IF(Tareas!$P67="","B2",Tareas!$P67),IF(Datos!$A68="","",Idiomas!$A$12&amp;" "&amp;ROW()-1))</f>
        <v>Tarea 67</v>
      </c>
    </row>
    <row r="69" spans="1:11" customFormat="1" x14ac:dyDescent="0.35">
      <c r="A69" s="91" t="s">
        <v>110</v>
      </c>
      <c r="B69" s="92" t="s">
        <v>7</v>
      </c>
      <c r="C69" s="102" t="s">
        <v>119</v>
      </c>
      <c r="D69" s="92"/>
      <c r="E69" s="93">
        <v>46037</v>
      </c>
      <c r="F69" s="93">
        <v>46050</v>
      </c>
      <c r="G69" s="93">
        <v>46043</v>
      </c>
      <c r="H69" s="43" t="str">
        <f>IF(Datos!$G69&gt;0,Datos!$G69-Datos!$E69+1 &amp; " " &amp; Idiomas!$A$29,"")</f>
        <v>7 días</v>
      </c>
      <c r="I69" s="43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>0 días</v>
      </c>
      <c r="J69" s="92" t="s">
        <v>25</v>
      </c>
      <c r="K69" s="44" t="str" cm="1">
        <f t="array" aca="1" ref="K69" ca="1">HYPERLINK("["&amp;Archivo_Nombre&amp;"]KANBAN!"&amp;IF(Tareas!$P68="","B2",Tareas!$P68),IF(Datos!$A69="","",Idiomas!$A$12&amp;" "&amp;ROW()-1))</f>
        <v>Tarea 68</v>
      </c>
    </row>
    <row r="70" spans="1:11" customFormat="1" x14ac:dyDescent="0.35">
      <c r="A70" s="94" t="s">
        <v>110</v>
      </c>
      <c r="B70" s="95" t="s">
        <v>7</v>
      </c>
      <c r="C70" s="104" t="s">
        <v>120</v>
      </c>
      <c r="D70" s="95"/>
      <c r="E70" s="96">
        <v>46039</v>
      </c>
      <c r="F70" s="96">
        <v>46051</v>
      </c>
      <c r="G70" s="96">
        <v>46043</v>
      </c>
      <c r="H70" s="45" t="str">
        <f>IF(Datos!$G70&gt;0,Datos!$G70-Datos!$E70+1 &amp; " " &amp; Idiomas!$A$29,"")</f>
        <v>5 días</v>
      </c>
      <c r="I70" s="45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>0 días</v>
      </c>
      <c r="J70" s="95" t="s">
        <v>25</v>
      </c>
      <c r="K70" s="46" t="str" cm="1">
        <f t="array" aca="1" ref="K70" ca="1">HYPERLINK("["&amp;Archivo_Nombre&amp;"]KANBAN!"&amp;IF(Tareas!$P69="","B2",Tareas!$P69),IF(Datos!$A70="","",Idiomas!$A$12&amp;" "&amp;ROW()-1))</f>
        <v>Tarea 69</v>
      </c>
    </row>
    <row r="71" spans="1:11" customFormat="1" ht="29" x14ac:dyDescent="0.35">
      <c r="A71" s="91" t="s">
        <v>110</v>
      </c>
      <c r="B71" s="92" t="s">
        <v>7</v>
      </c>
      <c r="C71" s="102" t="s">
        <v>121</v>
      </c>
      <c r="D71" s="92"/>
      <c r="E71" s="93">
        <v>46041</v>
      </c>
      <c r="F71" s="93">
        <v>46051</v>
      </c>
      <c r="G71" s="93">
        <v>46043</v>
      </c>
      <c r="H71" s="43" t="str">
        <f>IF(Datos!$G71&gt;0,Datos!$G71-Datos!$E71+1 &amp; " " &amp; Idiomas!$A$29,"")</f>
        <v>3 días</v>
      </c>
      <c r="I71" s="43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>0 días</v>
      </c>
      <c r="J71" s="92" t="s">
        <v>25</v>
      </c>
      <c r="K71" s="44" t="str" cm="1">
        <f t="array" aca="1" ref="K71" ca="1">HYPERLINK("["&amp;Archivo_Nombre&amp;"]KANBAN!"&amp;IF(Tareas!$P70="","B2",Tareas!$P70),IF(Datos!$A71="","",Idiomas!$A$12&amp;" "&amp;ROW()-1))</f>
        <v>Tarea 70</v>
      </c>
    </row>
    <row r="72" spans="1:11" customFormat="1" x14ac:dyDescent="0.35">
      <c r="A72" s="94"/>
      <c r="B72" s="95"/>
      <c r="C72" s="95"/>
      <c r="D72" s="95"/>
      <c r="E72" s="96"/>
      <c r="F72" s="96"/>
      <c r="G72" s="96"/>
      <c r="H72" s="45" t="str">
        <f>IF(Datos!$G72&gt;0,Datos!$G72-Datos!$E72+1 &amp; " " &amp; Idiomas!$A$29,"")</f>
        <v/>
      </c>
      <c r="I72" s="45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5"/>
      <c r="K72" s="46" t="str" cm="1">
        <f t="array" aca="1" ref="K72" ca="1">HYPERLINK("["&amp;Archivo_Nombre&amp;"]KANBAN!"&amp;IF(Tareas!$P71="","B2",Tareas!$P71),IF(Datos!$A72="","",Idiomas!$A$12&amp;" "&amp;ROW()-1))</f>
        <v/>
      </c>
    </row>
    <row r="73" spans="1:11" customFormat="1" x14ac:dyDescent="0.35">
      <c r="A73" s="91"/>
      <c r="B73" s="92"/>
      <c r="C73" s="92"/>
      <c r="D73" s="92"/>
      <c r="E73" s="93"/>
      <c r="F73" s="93"/>
      <c r="G73" s="93"/>
      <c r="H73" s="43" t="str">
        <f>IF(Datos!$G73&gt;0,Datos!$G73-Datos!$E73+1 &amp; " " &amp; Idiomas!$A$29,"")</f>
        <v/>
      </c>
      <c r="I73" s="43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2"/>
      <c r="K73" s="44" t="str" cm="1">
        <f t="array" aca="1" ref="K73" ca="1">HYPERLINK("["&amp;Archivo_Nombre&amp;"]KANBAN!"&amp;IF(Tareas!$P72="","B2",Tareas!$P72),IF(Datos!$A73="","",Idiomas!$A$12&amp;" "&amp;ROW()-1))</f>
        <v/>
      </c>
    </row>
    <row r="74" spans="1:11" customFormat="1" x14ac:dyDescent="0.35">
      <c r="A74" s="94"/>
      <c r="B74" s="95"/>
      <c r="C74" s="95"/>
      <c r="D74" s="95"/>
      <c r="E74" s="96"/>
      <c r="F74" s="96"/>
      <c r="G74" s="96"/>
      <c r="H74" s="45" t="str">
        <f>IF(Datos!$G74&gt;0,Datos!$G74-Datos!$E74+1 &amp; " " &amp; Idiomas!$A$29,"")</f>
        <v/>
      </c>
      <c r="I74" s="45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5"/>
      <c r="K74" s="46" t="str" cm="1">
        <f t="array" aca="1" ref="K74" ca="1">HYPERLINK("["&amp;Archivo_Nombre&amp;"]KANBAN!"&amp;IF(Tareas!$P73="","B2",Tareas!$P73),IF(Datos!$A74="","",Idiomas!$A$12&amp;" "&amp;ROW()-1))</f>
        <v/>
      </c>
    </row>
    <row r="75" spans="1:11" customFormat="1" x14ac:dyDescent="0.35">
      <c r="A75" s="91"/>
      <c r="B75" s="92"/>
      <c r="C75" s="92"/>
      <c r="D75" s="92"/>
      <c r="E75" s="93"/>
      <c r="F75" s="93"/>
      <c r="G75" s="93"/>
      <c r="H75" s="43" t="str">
        <f>IF(Datos!$G75&gt;0,Datos!$G75-Datos!$E75+1 &amp; " " &amp; Idiomas!$A$29,"")</f>
        <v/>
      </c>
      <c r="I75" s="43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2"/>
      <c r="K75" s="44" t="str" cm="1">
        <f t="array" aca="1" ref="K75" ca="1">HYPERLINK("["&amp;Archivo_Nombre&amp;"]KANBAN!"&amp;IF(Tareas!$P74="","B2",Tareas!$P74),IF(Datos!$A75="","",Idiomas!$A$12&amp;" "&amp;ROW()-1))</f>
        <v/>
      </c>
    </row>
    <row r="76" spans="1:11" customFormat="1" x14ac:dyDescent="0.35">
      <c r="A76" s="94"/>
      <c r="B76" s="95"/>
      <c r="C76" s="95"/>
      <c r="D76" s="95"/>
      <c r="E76" s="96"/>
      <c r="F76" s="96"/>
      <c r="G76" s="96"/>
      <c r="H76" s="45" t="str">
        <f>IF(Datos!$G76&gt;0,Datos!$G76-Datos!$E76+1 &amp; " " &amp; Idiomas!$A$29,"")</f>
        <v/>
      </c>
      <c r="I76" s="45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5"/>
      <c r="K76" s="46" t="str" cm="1">
        <f t="array" aca="1" ref="K76" ca="1">HYPERLINK("["&amp;Archivo_Nombre&amp;"]KANBAN!"&amp;IF(Tareas!$P75="","B2",Tareas!$P75),IF(Datos!$A76="","",Idiomas!$A$12&amp;" "&amp;ROW()-1))</f>
        <v/>
      </c>
    </row>
    <row r="77" spans="1:11" customFormat="1" x14ac:dyDescent="0.35">
      <c r="A77" s="91"/>
      <c r="B77" s="92"/>
      <c r="C77" s="92"/>
      <c r="D77" s="92"/>
      <c r="E77" s="93"/>
      <c r="F77" s="93"/>
      <c r="G77" s="93"/>
      <c r="H77" s="43" t="str">
        <f>IF(Datos!$G77&gt;0,Datos!$G77-Datos!$E77+1 &amp; " " &amp; Idiomas!$A$29,"")</f>
        <v/>
      </c>
      <c r="I77" s="43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2"/>
      <c r="K77" s="44" t="str" cm="1">
        <f t="array" aca="1" ref="K77" ca="1">HYPERLINK("["&amp;Archivo_Nombre&amp;"]KANBAN!"&amp;IF(Tareas!$P76="","B2",Tareas!$P76),IF(Datos!$A77="","",Idiomas!$A$12&amp;" "&amp;ROW()-1))</f>
        <v/>
      </c>
    </row>
    <row r="78" spans="1:11" customFormat="1" x14ac:dyDescent="0.35">
      <c r="A78" s="94"/>
      <c r="B78" s="95"/>
      <c r="C78" s="95"/>
      <c r="D78" s="95"/>
      <c r="E78" s="96"/>
      <c r="F78" s="96"/>
      <c r="G78" s="96"/>
      <c r="H78" s="45" t="str">
        <f>IF(Datos!$G78&gt;0,Datos!$G78-Datos!$E78+1 &amp; " " &amp; Idiomas!$A$29,"")</f>
        <v/>
      </c>
      <c r="I78" s="45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5"/>
      <c r="K78" s="46" t="str" cm="1">
        <f t="array" aca="1" ref="K78" ca="1">HYPERLINK("["&amp;Archivo_Nombre&amp;"]KANBAN!"&amp;IF(Tareas!$P77="","B2",Tareas!$P77),IF(Datos!$A78="","",Idiomas!$A$12&amp;" "&amp;ROW()-1))</f>
        <v/>
      </c>
    </row>
    <row r="79" spans="1:11" customFormat="1" x14ac:dyDescent="0.35">
      <c r="A79" s="91"/>
      <c r="B79" s="92"/>
      <c r="C79" s="92"/>
      <c r="D79" s="92"/>
      <c r="E79" s="93"/>
      <c r="F79" s="93"/>
      <c r="G79" s="93"/>
      <c r="H79" s="43" t="str">
        <f>IF(Datos!$G79&gt;0,Datos!$G79-Datos!$E79+1 &amp; " " &amp; Idiomas!$A$29,"")</f>
        <v/>
      </c>
      <c r="I79" s="43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2"/>
      <c r="K79" s="44" t="str" cm="1">
        <f t="array" aca="1" ref="K79" ca="1">HYPERLINK("["&amp;Archivo_Nombre&amp;"]KANBAN!"&amp;IF(Tareas!$P78="","B2",Tareas!$P78),IF(Datos!$A79="","",Idiomas!$A$12&amp;" "&amp;ROW()-1))</f>
        <v/>
      </c>
    </row>
    <row r="80" spans="1:11" customFormat="1" x14ac:dyDescent="0.35">
      <c r="A80" s="94"/>
      <c r="B80" s="95"/>
      <c r="C80" s="95"/>
      <c r="D80" s="95"/>
      <c r="E80" s="96"/>
      <c r="F80" s="96"/>
      <c r="G80" s="96"/>
      <c r="H80" s="45" t="str">
        <f>IF(Datos!$G80&gt;0,Datos!$G80-Datos!$E80+1 &amp; " " &amp; Idiomas!$A$29,"")</f>
        <v/>
      </c>
      <c r="I80" s="45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5"/>
      <c r="K80" s="46" t="str" cm="1">
        <f t="array" aca="1" ref="K80" ca="1">HYPERLINK("["&amp;Archivo_Nombre&amp;"]KANBAN!"&amp;IF(Tareas!$P79="","B2",Tareas!$P79),IF(Datos!$A80="","",Idiomas!$A$12&amp;" "&amp;ROW()-1))</f>
        <v/>
      </c>
    </row>
    <row r="81" spans="1:11" customFormat="1" x14ac:dyDescent="0.35">
      <c r="A81" s="91"/>
      <c r="B81" s="92"/>
      <c r="C81" s="92"/>
      <c r="D81" s="92"/>
      <c r="E81" s="93"/>
      <c r="F81" s="93"/>
      <c r="G81" s="93"/>
      <c r="H81" s="43" t="str">
        <f>IF(Datos!$G81&gt;0,Datos!$G81-Datos!$E81+1 &amp; " " &amp; Idiomas!$A$29,"")</f>
        <v/>
      </c>
      <c r="I81" s="43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2"/>
      <c r="K81" s="44" t="str" cm="1">
        <f t="array" aca="1" ref="K81" ca="1">HYPERLINK("["&amp;Archivo_Nombre&amp;"]KANBAN!"&amp;IF(Tareas!$P80="","B2",Tareas!$P80),IF(Datos!$A81="","",Idiomas!$A$12&amp;" "&amp;ROW()-1))</f>
        <v/>
      </c>
    </row>
    <row r="82" spans="1:11" customFormat="1" x14ac:dyDescent="0.35">
      <c r="A82" s="94"/>
      <c r="B82" s="95"/>
      <c r="C82" s="95"/>
      <c r="D82" s="95"/>
      <c r="E82" s="96"/>
      <c r="F82" s="96"/>
      <c r="G82" s="96"/>
      <c r="H82" s="45" t="str">
        <f>IF(Datos!$G82&gt;0,Datos!$G82-Datos!$E82+1 &amp; " " &amp; Idiomas!$A$29,"")</f>
        <v/>
      </c>
      <c r="I82" s="45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5"/>
      <c r="K82" s="46" t="str" cm="1">
        <f t="array" aca="1" ref="K82" ca="1">HYPERLINK("["&amp;Archivo_Nombre&amp;"]KANBAN!"&amp;IF(Tareas!$P81="","B2",Tareas!$P81),IF(Datos!$A82="","",Idiomas!$A$12&amp;" "&amp;ROW()-1))</f>
        <v/>
      </c>
    </row>
    <row r="83" spans="1:11" customFormat="1" x14ac:dyDescent="0.35">
      <c r="A83" s="91"/>
      <c r="B83" s="92"/>
      <c r="C83" s="92"/>
      <c r="D83" s="92"/>
      <c r="E83" s="93"/>
      <c r="F83" s="93"/>
      <c r="G83" s="93"/>
      <c r="H83" s="43" t="str">
        <f>IF(Datos!$G83&gt;0,Datos!$G83-Datos!$E83+1 &amp; " " &amp; Idiomas!$A$29,"")</f>
        <v/>
      </c>
      <c r="I83" s="43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2"/>
      <c r="K83" s="44" t="str" cm="1">
        <f t="array" aca="1" ref="K83" ca="1">HYPERLINK("["&amp;Archivo_Nombre&amp;"]KANBAN!"&amp;IF(Tareas!$P82="","B2",Tareas!$P82),IF(Datos!$A83="","",Idiomas!$A$12&amp;" "&amp;ROW()-1))</f>
        <v/>
      </c>
    </row>
    <row r="84" spans="1:11" customFormat="1" x14ac:dyDescent="0.35">
      <c r="A84" s="94"/>
      <c r="B84" s="95"/>
      <c r="C84" s="95"/>
      <c r="D84" s="95"/>
      <c r="E84" s="96"/>
      <c r="F84" s="96"/>
      <c r="G84" s="96"/>
      <c r="H84" s="45" t="str">
        <f>IF(Datos!$G84&gt;0,Datos!$G84-Datos!$E84+1 &amp; " " &amp; Idiomas!$A$29,"")</f>
        <v/>
      </c>
      <c r="I84" s="45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5"/>
      <c r="K84" s="46" t="str" cm="1">
        <f t="array" aca="1" ref="K84" ca="1">HYPERLINK("["&amp;Archivo_Nombre&amp;"]KANBAN!"&amp;IF(Tareas!$P83="","B2",Tareas!$P83),IF(Datos!$A84="","",Idiomas!$A$12&amp;" "&amp;ROW()-1))</f>
        <v/>
      </c>
    </row>
    <row r="85" spans="1:11" customFormat="1" x14ac:dyDescent="0.35">
      <c r="A85" s="91"/>
      <c r="B85" s="92"/>
      <c r="C85" s="92"/>
      <c r="D85" s="92"/>
      <c r="E85" s="93"/>
      <c r="F85" s="93"/>
      <c r="G85" s="93"/>
      <c r="H85" s="43" t="str">
        <f>IF(Datos!$G85&gt;0,Datos!$G85-Datos!$E85+1 &amp; " " &amp; Idiomas!$A$29,"")</f>
        <v/>
      </c>
      <c r="I85" s="43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2"/>
      <c r="K85" s="44" t="str" cm="1">
        <f t="array" aca="1" ref="K85" ca="1">HYPERLINK("["&amp;Archivo_Nombre&amp;"]KANBAN!"&amp;IF(Tareas!$P84="","B2",Tareas!$P84),IF(Datos!$A85="","",Idiomas!$A$12&amp;" "&amp;ROW()-1))</f>
        <v/>
      </c>
    </row>
    <row r="86" spans="1:11" customFormat="1" ht="43.5" x14ac:dyDescent="0.35">
      <c r="A86" s="94" t="s">
        <v>2</v>
      </c>
      <c r="B86" s="95" t="s">
        <v>3</v>
      </c>
      <c r="C86" s="104" t="s">
        <v>122</v>
      </c>
      <c r="D86" s="104" t="s">
        <v>123</v>
      </c>
      <c r="E86" s="96">
        <v>45687</v>
      </c>
      <c r="F86" s="96">
        <v>45687</v>
      </c>
      <c r="G86" s="96">
        <v>45687</v>
      </c>
      <c r="H86" s="45" t="str">
        <f>IF(Datos!$G86&gt;0,Datos!$G86-Datos!$E86+1 &amp; " " &amp; Idiomas!$A$29,"")</f>
        <v>1 días</v>
      </c>
      <c r="I86" s="45" t="str" cm="1">
        <f t="array" aca="1" ref="I86" ca="1">IF(OR(Datos!$G86="",Datos!$A86=""),"",IF(AND(Datos!$G86=0,Datos!$F86&gt;0,Fecha_Hoy&gt;Datos!$F86),Fecha_Hoy-Datos!$F86,IF(Datos!$F86&lt;Datos!$G86,Datos!$G86-Datos!$F86,0))&amp; " " &amp; Idiomas!$A$29)</f>
        <v>0 días</v>
      </c>
      <c r="J86" s="95" t="s">
        <v>124</v>
      </c>
      <c r="K86" s="46" t="str" cm="1">
        <f t="array" aca="1" ref="K86" ca="1">HYPERLINK("["&amp;Archivo_Nombre&amp;"]KANBAN!"&amp;IF(Tareas!$P85="","B2",Tareas!$P85),IF(Datos!$A86="","",Idiomas!$A$12&amp;" "&amp;ROW()-1))</f>
        <v>Tarea 85</v>
      </c>
    </row>
    <row r="87" spans="1:11" customFormat="1" x14ac:dyDescent="0.35">
      <c r="A87" s="91"/>
      <c r="B87" s="92"/>
      <c r="C87" s="92"/>
      <c r="D87" s="92"/>
      <c r="E87" s="93"/>
      <c r="F87" s="93"/>
      <c r="G87" s="93"/>
      <c r="H87" s="43" t="str">
        <f>IF(Datos!$G87&gt;0,Datos!$G87-Datos!$E87+1 &amp; " " &amp; Idiomas!$A$29,"")</f>
        <v/>
      </c>
      <c r="I87" s="43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2"/>
      <c r="K87" s="44" t="str" cm="1">
        <f t="array" aca="1" ref="K87" ca="1">HYPERLINK("["&amp;Archivo_Nombre&amp;"]KANBAN!"&amp;IF(Tareas!$P86="","B2",Tareas!$P86),IF(Datos!$A87="","",Idiomas!$A$12&amp;" "&amp;ROW()-1))</f>
        <v/>
      </c>
    </row>
    <row r="88" spans="1:11" customFormat="1" x14ac:dyDescent="0.35">
      <c r="A88" s="94"/>
      <c r="B88" s="95"/>
      <c r="C88" s="95"/>
      <c r="D88" s="95"/>
      <c r="E88" s="96"/>
      <c r="F88" s="96"/>
      <c r="G88" s="96"/>
      <c r="H88" s="45" t="str">
        <f>IF(Datos!$G88&gt;0,Datos!$G88-Datos!$E88+1 &amp; " " &amp; Idiomas!$A$29,"")</f>
        <v/>
      </c>
      <c r="I88" s="45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5"/>
      <c r="K88" s="46" t="str" cm="1">
        <f t="array" aca="1" ref="K88" ca="1">HYPERLINK("["&amp;Archivo_Nombre&amp;"]KANBAN!"&amp;IF(Tareas!$P87="","B2",Tareas!$P87),IF(Datos!$A88="","",Idiomas!$A$12&amp;" "&amp;ROW()-1))</f>
        <v/>
      </c>
    </row>
    <row r="89" spans="1:11" customFormat="1" x14ac:dyDescent="0.35">
      <c r="A89" s="91"/>
      <c r="B89" s="92"/>
      <c r="C89" s="92"/>
      <c r="D89" s="92"/>
      <c r="E89" s="93"/>
      <c r="F89" s="93"/>
      <c r="G89" s="93"/>
      <c r="H89" s="43" t="str">
        <f>IF(Datos!$G89&gt;0,Datos!$G89-Datos!$E89+1 &amp; " " &amp; Idiomas!$A$29,"")</f>
        <v/>
      </c>
      <c r="I89" s="43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2"/>
      <c r="K89" s="44" t="str" cm="1">
        <f t="array" aca="1" ref="K89" ca="1">HYPERLINK("["&amp;Archivo_Nombre&amp;"]KANBAN!"&amp;IF(Tareas!$P88="","B2",Tareas!$P88),IF(Datos!$A89="","",Idiomas!$A$12&amp;" "&amp;ROW()-1))</f>
        <v/>
      </c>
    </row>
    <row r="90" spans="1:11" customFormat="1" x14ac:dyDescent="0.35">
      <c r="A90" s="94"/>
      <c r="B90" s="95"/>
      <c r="C90" s="95"/>
      <c r="D90" s="95"/>
      <c r="E90" s="96"/>
      <c r="F90" s="96"/>
      <c r="G90" s="96"/>
      <c r="H90" s="45" t="str">
        <f>IF(Datos!$G90&gt;0,Datos!$G90-Datos!$E90+1 &amp; " " &amp; Idiomas!$A$29,"")</f>
        <v/>
      </c>
      <c r="I90" s="45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5"/>
      <c r="K90" s="46" t="str" cm="1">
        <f t="array" aca="1" ref="K90" ca="1">HYPERLINK("["&amp;Archivo_Nombre&amp;"]KANBAN!"&amp;IF(Tareas!$P89="","B2",Tareas!$P89),IF(Datos!$A90="","",Idiomas!$A$12&amp;" "&amp;ROW()-1))</f>
        <v/>
      </c>
    </row>
    <row r="91" spans="1:11" customFormat="1" x14ac:dyDescent="0.35">
      <c r="A91" s="91"/>
      <c r="B91" s="92"/>
      <c r="C91" s="92"/>
      <c r="D91" s="92"/>
      <c r="E91" s="93"/>
      <c r="F91" s="93"/>
      <c r="G91" s="93"/>
      <c r="H91" s="43" t="str">
        <f>IF(Datos!$G91&gt;0,Datos!$G91-Datos!$E91+1 &amp; " " &amp; Idiomas!$A$29,"")</f>
        <v/>
      </c>
      <c r="I91" s="43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2"/>
      <c r="K91" s="44" t="str" cm="1">
        <f t="array" aca="1" ref="K91" ca="1">HYPERLINK("["&amp;Archivo_Nombre&amp;"]KANBAN!"&amp;IF(Tareas!$P90="","B2",Tareas!$P90),IF(Datos!$A91="","",Idiomas!$A$12&amp;" "&amp;ROW()-1))</f>
        <v/>
      </c>
    </row>
    <row r="92" spans="1:11" customFormat="1" x14ac:dyDescent="0.35">
      <c r="A92" s="94"/>
      <c r="B92" s="95"/>
      <c r="C92" s="95"/>
      <c r="D92" s="95"/>
      <c r="E92" s="96"/>
      <c r="F92" s="96"/>
      <c r="G92" s="96"/>
      <c r="H92" s="45" t="str">
        <f>IF(Datos!$G92&gt;0,Datos!$G92-Datos!$E92+1 &amp; " " &amp; Idiomas!$A$29,"")</f>
        <v/>
      </c>
      <c r="I92" s="45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5"/>
      <c r="K92" s="46" t="str" cm="1">
        <f t="array" aca="1" ref="K92" ca="1">HYPERLINK("["&amp;Archivo_Nombre&amp;"]KANBAN!"&amp;IF(Tareas!$P91="","B2",Tareas!$P91),IF(Datos!$A92="","",Idiomas!$A$12&amp;" "&amp;ROW()-1))</f>
        <v/>
      </c>
    </row>
    <row r="93" spans="1:11" customFormat="1" x14ac:dyDescent="0.35">
      <c r="A93" s="91"/>
      <c r="B93" s="92"/>
      <c r="C93" s="92"/>
      <c r="D93" s="92"/>
      <c r="E93" s="93"/>
      <c r="F93" s="93"/>
      <c r="G93" s="93"/>
      <c r="H93" s="43" t="str">
        <f>IF(Datos!$G93&gt;0,Datos!$G93-Datos!$E93+1 &amp; " " &amp; Idiomas!$A$29,"")</f>
        <v/>
      </c>
      <c r="I93" s="43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2"/>
      <c r="K93" s="44" t="str" cm="1">
        <f t="array" aca="1" ref="K93" ca="1">HYPERLINK("["&amp;Archivo_Nombre&amp;"]KANBAN!"&amp;IF(Tareas!$P92="","B2",Tareas!$P92),IF(Datos!$A93="","",Idiomas!$A$12&amp;" "&amp;ROW()-1))</f>
        <v/>
      </c>
    </row>
    <row r="94" spans="1:11" customFormat="1" x14ac:dyDescent="0.35">
      <c r="A94" s="94"/>
      <c r="B94" s="95"/>
      <c r="C94" s="95"/>
      <c r="D94" s="95"/>
      <c r="E94" s="96"/>
      <c r="F94" s="96"/>
      <c r="G94" s="96"/>
      <c r="H94" s="45" t="str">
        <f>IF(Datos!$G94&gt;0,Datos!$G94-Datos!$E94+1 &amp; " " &amp; Idiomas!$A$29,"")</f>
        <v/>
      </c>
      <c r="I94" s="45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5"/>
      <c r="K94" s="46" t="str" cm="1">
        <f t="array" aca="1" ref="K94" ca="1">HYPERLINK("["&amp;Archivo_Nombre&amp;"]KANBAN!"&amp;IF(Tareas!$P93="","B2",Tareas!$P93),IF(Datos!$A94="","",Idiomas!$A$12&amp;" "&amp;ROW()-1))</f>
        <v/>
      </c>
    </row>
    <row r="95" spans="1:11" customFormat="1" x14ac:dyDescent="0.35">
      <c r="A95" s="91"/>
      <c r="B95" s="92"/>
      <c r="C95" s="92"/>
      <c r="D95" s="92"/>
      <c r="E95" s="93"/>
      <c r="F95" s="93"/>
      <c r="G95" s="93"/>
      <c r="H95" s="43" t="str">
        <f>IF(Datos!$G95&gt;0,Datos!$G95-Datos!$E95+1 &amp; " " &amp; Idiomas!$A$29,"")</f>
        <v/>
      </c>
      <c r="I95" s="43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2"/>
      <c r="K95" s="44" t="str" cm="1">
        <f t="array" aca="1" ref="K95" ca="1">HYPERLINK("["&amp;Archivo_Nombre&amp;"]KANBAN!"&amp;IF(Tareas!$P94="","B2",Tareas!$P94),IF(Datos!$A95="","",Idiomas!$A$12&amp;" "&amp;ROW()-1))</f>
        <v/>
      </c>
    </row>
    <row r="96" spans="1:11" customFormat="1" x14ac:dyDescent="0.35">
      <c r="A96" s="94"/>
      <c r="B96" s="95"/>
      <c r="C96" s="95"/>
      <c r="D96" s="95"/>
      <c r="E96" s="96"/>
      <c r="F96" s="96"/>
      <c r="G96" s="96"/>
      <c r="H96" s="45" t="str">
        <f>IF(Datos!$G96&gt;0,Datos!$G96-Datos!$E96+1 &amp; " " &amp; Idiomas!$A$29,"")</f>
        <v/>
      </c>
      <c r="I96" s="45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5"/>
      <c r="K96" s="46" t="str" cm="1">
        <f t="array" aca="1" ref="K96" ca="1">HYPERLINK("["&amp;Archivo_Nombre&amp;"]KANBAN!"&amp;IF(Tareas!$P95="","B2",Tareas!$P95),IF(Datos!$A96="","",Idiomas!$A$12&amp;" "&amp;ROW()-1))</f>
        <v/>
      </c>
    </row>
    <row r="97" spans="1:11" customFormat="1" x14ac:dyDescent="0.35">
      <c r="A97" s="91"/>
      <c r="B97" s="92"/>
      <c r="C97" s="92"/>
      <c r="D97" s="92"/>
      <c r="E97" s="93"/>
      <c r="F97" s="93"/>
      <c r="G97" s="93"/>
      <c r="H97" s="43" t="str">
        <f>IF(Datos!$G97&gt;0,Datos!$G97-Datos!$E97+1 &amp; " " &amp; Idiomas!$A$29,"")</f>
        <v/>
      </c>
      <c r="I97" s="43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2"/>
      <c r="K97" s="44" t="str" cm="1">
        <f t="array" aca="1" ref="K97" ca="1">HYPERLINK("["&amp;Archivo_Nombre&amp;"]KANBAN!"&amp;IF(Tareas!$P96="","B2",Tareas!$P96),IF(Datos!$A97="","",Idiomas!$A$12&amp;" "&amp;ROW()-1))</f>
        <v/>
      </c>
    </row>
    <row r="98" spans="1:11" customFormat="1" x14ac:dyDescent="0.35">
      <c r="A98" s="94"/>
      <c r="B98" s="95"/>
      <c r="C98" s="95"/>
      <c r="D98" s="95"/>
      <c r="E98" s="96"/>
      <c r="F98" s="96"/>
      <c r="G98" s="96"/>
      <c r="H98" s="45" t="str">
        <f>IF(Datos!$G98&gt;0,Datos!$G98-Datos!$E98+1 &amp; " " &amp; Idiomas!$A$29,"")</f>
        <v/>
      </c>
      <c r="I98" s="45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5"/>
      <c r="K98" s="46" t="str" cm="1">
        <f t="array" aca="1" ref="K98" ca="1">HYPERLINK("["&amp;Archivo_Nombre&amp;"]KANBAN!"&amp;IF(Tareas!$P97="","B2",Tareas!$P97),IF(Datos!$A98="","",Idiomas!$A$12&amp;" "&amp;ROW()-1))</f>
        <v/>
      </c>
    </row>
    <row r="99" spans="1:11" customFormat="1" x14ac:dyDescent="0.35">
      <c r="A99" s="91"/>
      <c r="B99" s="92"/>
      <c r="C99" s="92"/>
      <c r="D99" s="92"/>
      <c r="E99" s="93"/>
      <c r="F99" s="93"/>
      <c r="G99" s="93"/>
      <c r="H99" s="43" t="str">
        <f>IF(Datos!$G99&gt;0,Datos!$G99-Datos!$E99+1 &amp; " " &amp; Idiomas!$A$29,"")</f>
        <v/>
      </c>
      <c r="I99" s="43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2"/>
      <c r="K99" s="44" t="str" cm="1">
        <f t="array" aca="1" ref="K99" ca="1">HYPERLINK("["&amp;Archivo_Nombre&amp;"]KANBAN!"&amp;IF(Tareas!$P98="","B2",Tareas!$P98),IF(Datos!$A99="","",Idiomas!$A$12&amp;" "&amp;ROW()-1))</f>
        <v/>
      </c>
    </row>
    <row r="100" spans="1:11" customFormat="1" x14ac:dyDescent="0.35">
      <c r="A100" s="94"/>
      <c r="B100" s="95"/>
      <c r="C100" s="95"/>
      <c r="D100" s="95"/>
      <c r="E100" s="96"/>
      <c r="F100" s="96"/>
      <c r="G100" s="96"/>
      <c r="H100" s="45" t="str">
        <f>IF(Datos!$G100&gt;0,Datos!$G100-Datos!$E100+1 &amp; " " &amp; Idiomas!$A$29,"")</f>
        <v/>
      </c>
      <c r="I100" s="45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5"/>
      <c r="K100" s="46" t="str" cm="1">
        <f t="array" aca="1" ref="K100" ca="1">HYPERLINK("["&amp;Archivo_Nombre&amp;"]KANBAN!"&amp;IF(Tareas!$P99="","B2",Tareas!$P99),IF(Datos!$A100="","",Idiomas!$A$12&amp;" "&amp;ROW()-1))</f>
        <v/>
      </c>
    </row>
    <row r="101" spans="1:11" customFormat="1" x14ac:dyDescent="0.35">
      <c r="A101" s="91"/>
      <c r="B101" s="92"/>
      <c r="C101" s="92"/>
      <c r="D101" s="92"/>
      <c r="E101" s="93"/>
      <c r="F101" s="93"/>
      <c r="G101" s="93"/>
      <c r="H101" s="43" t="str">
        <f>IF(Datos!$G101&gt;0,Datos!$G101-Datos!$E101+1 &amp; " " &amp; Idiomas!$A$29,"")</f>
        <v/>
      </c>
      <c r="I101" s="43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2"/>
      <c r="K101" s="44" t="str" cm="1">
        <f t="array" aca="1" ref="K101" ca="1">HYPERLINK("["&amp;Archivo_Nombre&amp;"]KANBAN!"&amp;IF(Tareas!$P100="","B2",Tareas!$P100),IF(Datos!$A101="","",Idiomas!$A$12&amp;" "&amp;ROW()-1))</f>
        <v/>
      </c>
    </row>
    <row r="102" spans="1:11" customFormat="1" x14ac:dyDescent="0.35">
      <c r="A102" s="99"/>
      <c r="B102" s="100"/>
      <c r="C102" s="100"/>
      <c r="D102" s="100"/>
      <c r="E102" s="101"/>
      <c r="F102" s="101"/>
      <c r="G102" s="101"/>
      <c r="H102" s="47" t="str">
        <f>IF(Datos!$G102&gt;0,Datos!$G102-Datos!$E102+1 &amp; " " &amp; Idiomas!$A$29,"")</f>
        <v/>
      </c>
      <c r="I102" s="47" t="str" cm="1">
        <f t="array" ref="I102">IF(OR(Datos!$G102="",Datos!$A102=""),"",IF(AND(Datos!$G102=0,Datos!$F102&gt;0,Fecha_Hoy&gt;Datos!$F102),Fecha_Hoy-Datos!$F102,IF(Datos!$F102&lt;Datos!$G102,Datos!$G102-Datos!$F102,0))&amp; " " &amp; Idiomas!$A$29)</f>
        <v/>
      </c>
      <c r="J102" s="100"/>
      <c r="K102" s="48" t="str" cm="1">
        <f t="array" aca="1" ref="K102" ca="1">HYPERLINK("["&amp;Archivo_Nombre&amp;"]KANBAN!"&amp;IF(Tareas!$P101="","B2",Tareas!$P101),IF(Datos!$A102="","",Idiomas!$A$12&amp;" "&amp;ROW()-1))</f>
        <v/>
      </c>
    </row>
  </sheetData>
  <sheetProtection autoFilter="0"/>
  <autoFilter ref="A1:K102" xr:uid="{00000000-0001-0000-0100-000000000000}"/>
  <phoneticPr fontId="2" type="noConversion"/>
  <conditionalFormatting sqref="E5:E102">
    <cfRule type="expression" dxfId="4" priority="2" stopIfTrue="1">
      <formula>AND($A5&lt;&gt;"",$E5="")</formula>
    </cfRule>
  </conditionalFormatting>
  <conditionalFormatting sqref="I2:I102">
    <cfRule type="expression" dxfId="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E4 E11:E13 E49:E102 F2:F15 F17:G17 F47:G102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B2:B45</xm:sqref>
        </x14:conditionalFormatting>
        <x14:conditionalFormatting xmlns:xm="http://schemas.microsoft.com/office/excel/2006/main">
          <x14:cfRule type="expression" priority="76" stopIfTrue="1" id="{00000000-000E-0000-0100-000002000000}">
            <xm:f>Tareas!$C45=3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7" stopIfTrue="1" id="{00000000-000E-0000-0100-000003000000}">
            <xm:f>Tareas!$C45=2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8" stopIfTrue="1" id="{00000000-000E-0000-0100-000004000000}">
            <xm:f>Tareas!$C45=1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B46:B102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K2:K46</xm:sqref>
        </x14:conditionalFormatting>
        <x14:conditionalFormatting xmlns:xm="http://schemas.microsoft.com/office/excel/2006/main">
          <x14:cfRule type="expression" priority="80" stopIfTrue="1" id="{00000000-000E-0000-0100-000005000000}">
            <xm:f>Tareas!$D46=0</xm:f>
            <x14:dxf>
              <font>
                <b val="0"/>
                <i val="0"/>
                <color rgb="FFFF0000"/>
              </font>
            </x14:dxf>
          </x14:cfRule>
          <xm:sqref>K47:K102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A2:A61 A63:A102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B2:B102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8" workbookViewId="0">
      <selection activeCell="D18" sqref="D18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24" t="str">
        <f>"                " &amp; Idiomas!$A$2 &amp; " v3 ©️            "</f>
        <v xml:space="preserve">                Tablero KANBAN v3 ©️            </v>
      </c>
      <c r="C2" s="124"/>
      <c r="E2" s="7" t="s">
        <v>125</v>
      </c>
      <c r="F2" s="128" t="str">
        <f>Idiomas!$A$2 &amp; " | #ExcelPedroWave"</f>
        <v>Tablero KANBAN | #ExcelPedroWave</v>
      </c>
      <c r="G2" s="128"/>
      <c r="H2" s="128"/>
    </row>
    <row r="3" spans="2:9" ht="15" customHeight="1" x14ac:dyDescent="0.35">
      <c r="E3" s="8" t="s">
        <v>126</v>
      </c>
      <c r="F3" s="128" t="s">
        <v>127</v>
      </c>
      <c r="G3" s="128"/>
      <c r="H3" s="128"/>
    </row>
    <row r="4" spans="2:9" x14ac:dyDescent="0.35">
      <c r="B4" s="89" t="str">
        <f>Idiomas!$A$3</f>
        <v>Idioma</v>
      </c>
      <c r="E4" s="8" t="s">
        <v>128</v>
      </c>
      <c r="F4" s="129" t="s">
        <v>129</v>
      </c>
      <c r="G4" s="129"/>
      <c r="H4" s="129"/>
    </row>
    <row r="5" spans="2:9" ht="15" customHeight="1" x14ac:dyDescent="0.35">
      <c r="B5" s="90" t="s">
        <v>130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131</v>
      </c>
    </row>
    <row r="9" spans="2:9" x14ac:dyDescent="0.35">
      <c r="B9" s="75" t="s">
        <v>105</v>
      </c>
      <c r="D9" s="72" t="s">
        <v>18</v>
      </c>
      <c r="F9" s="68" t="s">
        <v>6</v>
      </c>
      <c r="H9" s="66" t="str">
        <f>Idiomas!$A$12</f>
        <v>Tarea</v>
      </c>
      <c r="I9" s="85">
        <v>1</v>
      </c>
    </row>
    <row r="10" spans="2:9" x14ac:dyDescent="0.35">
      <c r="B10" s="76" t="s">
        <v>110</v>
      </c>
      <c r="D10" s="73" t="s">
        <v>7</v>
      </c>
      <c r="F10" s="69" t="s">
        <v>17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132</v>
      </c>
      <c r="D11" s="74" t="s">
        <v>3</v>
      </c>
      <c r="F11" s="70" t="s">
        <v>25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 t="s">
        <v>10</v>
      </c>
      <c r="H12" s="67" t="str">
        <f>Idiomas!$A$15</f>
        <v>Previsto</v>
      </c>
      <c r="I12" s="87">
        <v>4</v>
      </c>
    </row>
    <row r="13" spans="2:9" x14ac:dyDescent="0.35">
      <c r="B13" s="77" t="s">
        <v>133</v>
      </c>
      <c r="F13" s="70" t="s">
        <v>40</v>
      </c>
      <c r="H13" s="79" t="str">
        <f>Idiomas!$A$16</f>
        <v>Final</v>
      </c>
      <c r="I13" s="86">
        <v>5</v>
      </c>
    </row>
    <row r="14" spans="2:9" x14ac:dyDescent="0.35">
      <c r="B14" s="76" t="s">
        <v>105</v>
      </c>
      <c r="F14" s="68"/>
      <c r="H14" s="67" t="str">
        <f>Idiomas!$A$17</f>
        <v>Duración</v>
      </c>
      <c r="I14" s="87">
        <v>6</v>
      </c>
    </row>
    <row r="15" spans="2:9" x14ac:dyDescent="0.35">
      <c r="B15" s="77" t="s">
        <v>110</v>
      </c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134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132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25" t="s">
        <v>135</v>
      </c>
      <c r="C23" s="126"/>
      <c r="D23" s="127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136</v>
      </c>
      <c r="F1" s="50" t="s">
        <v>137</v>
      </c>
      <c r="G1" s="50" t="s">
        <v>138</v>
      </c>
      <c r="H1" s="50" t="s">
        <v>139</v>
      </c>
      <c r="I1" s="50" t="s">
        <v>140</v>
      </c>
      <c r="J1" s="50" t="s">
        <v>141</v>
      </c>
      <c r="K1" s="50" t="s">
        <v>142</v>
      </c>
      <c r="L1" s="50" t="s">
        <v>143</v>
      </c>
      <c r="M1" s="50" t="s">
        <v>144</v>
      </c>
      <c r="N1" s="50" t="s">
        <v>145</v>
      </c>
      <c r="O1" s="50" t="str">
        <f>Idiomas!$A$21</f>
        <v>Celda</v>
      </c>
      <c r="P1" s="51" t="s">
        <v>146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3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3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1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1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1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3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R-195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R-195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R195:R202</v>
      </c>
    </row>
    <row r="39" spans="1:16" ht="15.5" thickTop="1" thickBot="1" x14ac:dyDescent="0.4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R-186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R-186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R186:R193</v>
      </c>
    </row>
    <row r="40" spans="1:16" ht="15.5" thickTop="1" thickBot="1" x14ac:dyDescent="0.4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R-177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R-177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R177:R184</v>
      </c>
    </row>
    <row r="41" spans="1:16" ht="15.5" thickTop="1" thickBot="1" x14ac:dyDescent="0.4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R-168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R-168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R168:R175</v>
      </c>
    </row>
    <row r="42" spans="1:16" ht="15.5" thickTop="1" thickBot="1" x14ac:dyDescent="0.4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R-159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R-159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R159:R166</v>
      </c>
    </row>
    <row r="43" spans="1:16" ht="15.5" thickTop="1" thickBot="1" x14ac:dyDescent="0.4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R-150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R-150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R150:R157</v>
      </c>
    </row>
    <row r="44" spans="1:16" ht="15.5" thickTop="1" thickBot="1" x14ac:dyDescent="0.4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R-141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R-141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R141:R148</v>
      </c>
    </row>
    <row r="45" spans="1:16" ht="15.5" thickTop="1" thickBot="1" x14ac:dyDescent="0.4">
      <c r="A45" s="56" t="str">
        <f>IFERROR(IF(Datos!$A46="","",Idiomas!$A$12&amp;" "&amp;ROW()-1),"")</f>
        <v>Tarea 44</v>
      </c>
      <c r="B45" s="57">
        <f>IFERROR(MATCH(Datos!$A46,Configura!$B$9:$B$18,0),0)</f>
        <v>4</v>
      </c>
      <c r="C45" s="57">
        <f>IFERROR(MATCH(Datos!$B46,Configura!$D$9:$D$11,0),0)</f>
        <v>2</v>
      </c>
      <c r="D45" s="57" cm="1">
        <f t="array" aca="1" ref="D45" ca="1">IF(AND(Datos!$A46&lt;&gt;"",
OR(miCriticidad="",miCriticidad=$C45),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R-132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R-132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R132:R139</v>
      </c>
    </row>
    <row r="46" spans="1:16" ht="15.5" thickTop="1" thickBot="1" x14ac:dyDescent="0.4">
      <c r="A46" s="52" t="str">
        <f>IFERROR(IF(Datos!$A47="","",Idiomas!$A$12&amp;" "&amp;ROW()-1),"")</f>
        <v>Tarea 45</v>
      </c>
      <c r="B46" s="53">
        <f>IFERROR(MATCH(Datos!$A47,Configura!$B$9:$B$18,0),0)</f>
        <v>4</v>
      </c>
      <c r="C46" s="53">
        <f>IFERROR(MATCH(Datos!$B47,Configura!$D$9:$D$11,0),0)</f>
        <v>2</v>
      </c>
      <c r="D46" s="53" cm="1">
        <f t="array" aca="1" ref="D46" ca="1">IF(AND(Datos!$A47&lt;&gt;"",
OR(miCriticidad="",miCriticidad=$C46),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R-123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R-123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R123:R130</v>
      </c>
    </row>
    <row r="47" spans="1:16" ht="15.5" thickTop="1" thickBot="1" x14ac:dyDescent="0.4">
      <c r="A47" s="56" t="str">
        <f>IFERROR(IF(Datos!$A48="","",Idiomas!$A$12&amp;" "&amp;ROW()-1),"")</f>
        <v>Tarea 46</v>
      </c>
      <c r="B47" s="57">
        <f>IFERROR(MATCH(Datos!$A48,Configura!$B$9:$B$18,0),0)</f>
        <v>4</v>
      </c>
      <c r="C47" s="57">
        <f>IFERROR(MATCH(Datos!$B48,Configura!$D$9:$D$11,0),0)</f>
        <v>3</v>
      </c>
      <c r="D47" s="57" cm="1">
        <f t="array" aca="1" ref="D47" ca="1">IF(AND(Datos!$A48&lt;&gt;"",
OR(miCriticidad="",miCriticidad=$C47),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R-114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R-114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R114:R121</v>
      </c>
    </row>
    <row r="48" spans="1:16" ht="15.5" thickTop="1" thickBot="1" x14ac:dyDescent="0.4">
      <c r="A48" s="52" t="str">
        <f>IFERROR(IF(Datos!$A49="","",Idiomas!$A$12&amp;" "&amp;ROW()-1),"")</f>
        <v>Tarea 47</v>
      </c>
      <c r="B48" s="53">
        <f>IFERROR(MATCH(Datos!$A49,Configura!$B$9:$B$18,0),0)</f>
        <v>4</v>
      </c>
      <c r="C48" s="53">
        <f>IFERROR(MATCH(Datos!$B49,Configura!$D$9:$D$11,0),0)</f>
        <v>3</v>
      </c>
      <c r="D48" s="53" cm="1">
        <f t="array" aca="1" ref="D48" ca="1">IF(AND(Datos!$A49&lt;&gt;"",
OR(miCriticidad="",miCriticidad=$C48),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R-105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R-105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R105:R112</v>
      </c>
    </row>
    <row r="49" spans="1:16" ht="15.5" thickTop="1" thickBot="1" x14ac:dyDescent="0.4">
      <c r="A49" s="56" t="str">
        <f>IFERROR(IF(Datos!$A50="","",Idiomas!$A$12&amp;" "&amp;ROW()-1),"")</f>
        <v>Tarea 48</v>
      </c>
      <c r="B49" s="57">
        <f>IFERROR(MATCH(Datos!$A50,Configura!$B$9:$B$18,0),0)</f>
        <v>4</v>
      </c>
      <c r="C49" s="57">
        <f>IFERROR(MATCH(Datos!$B50,Configura!$D$9:$D$11,0),0)</f>
        <v>1</v>
      </c>
      <c r="D49" s="57" cm="1">
        <f t="array" aca="1" ref="D49" ca="1">IF(AND(Datos!$A50&lt;&gt;"",
OR(miCriticidad="",miCriticidad=$C49),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>R-96</v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R-96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R96:R103</v>
      </c>
    </row>
    <row r="50" spans="1:16" ht="15.5" thickTop="1" thickBot="1" x14ac:dyDescent="0.4">
      <c r="A50" s="52" t="str">
        <f>IFERROR(IF(Datos!$A51="","",Idiomas!$A$12&amp;" "&amp;ROW()-1),"")</f>
        <v>Tarea 49</v>
      </c>
      <c r="B50" s="53">
        <f>IFERROR(MATCH(Datos!$A51,Configura!$B$9:$B$18,0),0)</f>
        <v>4</v>
      </c>
      <c r="C50" s="53">
        <f>IFERROR(MATCH(Datos!$B51,Configura!$D$9:$D$11,0),0)</f>
        <v>3</v>
      </c>
      <c r="D50" s="53" cm="1">
        <f t="array" aca="1" ref="D50" ca="1">IF(AND(Datos!$A51&lt;&gt;"",
OR(miCriticidad="",miCriticidad=$C50),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>R-87</v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R-87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R87:R94</v>
      </c>
    </row>
    <row r="51" spans="1:16" ht="15.5" thickTop="1" thickBot="1" x14ac:dyDescent="0.4">
      <c r="A51" s="56" t="str">
        <f>IFERROR(IF(Datos!$A52="","",Idiomas!$A$12&amp;" "&amp;ROW()-1),"")</f>
        <v>Tarea 50</v>
      </c>
      <c r="B51" s="57">
        <f>IFERROR(MATCH(Datos!$A52,Configura!$B$9:$B$18,0),0)</f>
        <v>4</v>
      </c>
      <c r="C51" s="57">
        <f>IFERROR(MATCH(Datos!$B52,Configura!$D$9:$D$11,0),0)</f>
        <v>2</v>
      </c>
      <c r="D51" s="57" cm="1">
        <f t="array" aca="1" ref="D51" ca="1">IF(AND(Datos!$A52&lt;&gt;"",
OR(miCriticidad="",miCriticidad=$C51),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>R-78</v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R-78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R78:R85</v>
      </c>
    </row>
    <row r="52" spans="1:16" ht="15.5" thickTop="1" thickBot="1" x14ac:dyDescent="0.4">
      <c r="A52" s="52" t="str">
        <f>IFERROR(IF(Datos!$A53="","",Idiomas!$A$12&amp;" "&amp;ROW()-1),"")</f>
        <v>Tarea 51</v>
      </c>
      <c r="B52" s="53">
        <f>IFERROR(MATCH(Datos!$A53,Configura!$B$9:$B$18,0),0)</f>
        <v>4</v>
      </c>
      <c r="C52" s="53">
        <f>IFERROR(MATCH(Datos!$B53,Configura!$D$9:$D$11,0),0)</f>
        <v>3</v>
      </c>
      <c r="D52" s="53" cm="1">
        <f t="array" aca="1" ref="D52" ca="1">IF(AND(Datos!$A53&lt;&gt;"",
OR(miCriticidad="",miCriticidad=$C52),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R-69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R-69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R69:R76</v>
      </c>
    </row>
    <row r="53" spans="1:16" ht="15.5" thickTop="1" thickBot="1" x14ac:dyDescent="0.4">
      <c r="A53" s="56" t="str">
        <f>IFERROR(IF(Datos!$A54="","",Idiomas!$A$12&amp;" "&amp;ROW()-1),"")</f>
        <v>Tarea 52</v>
      </c>
      <c r="B53" s="57">
        <f>IFERROR(MATCH(Datos!$A54,Configura!$B$9:$B$18,0),0)</f>
        <v>4</v>
      </c>
      <c r="C53" s="57">
        <f>IFERROR(MATCH(Datos!$B54,Configura!$D$9:$D$11,0),0)</f>
        <v>2</v>
      </c>
      <c r="D53" s="57" cm="1">
        <f t="array" aca="1" ref="D53" ca="1">IF(AND(Datos!$A54&lt;&gt;"",
OR(miCriticidad="",miCriticidad=$C53),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>R-60</v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R-60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R60:R67</v>
      </c>
    </row>
    <row r="54" spans="1:16" ht="15.5" thickTop="1" thickBot="1" x14ac:dyDescent="0.4">
      <c r="A54" s="52" t="str">
        <f>IFERROR(IF(Datos!$A55="","",Idiomas!$A$12&amp;" "&amp;ROW()-1),"")</f>
        <v>Tarea 53</v>
      </c>
      <c r="B54" s="53">
        <f>IFERROR(MATCH(Datos!$A55,Configura!$B$9:$B$18,0),0)</f>
        <v>4</v>
      </c>
      <c r="C54" s="53">
        <f>IFERROR(MATCH(Datos!$B55,Configura!$D$9:$D$11,0),0)</f>
        <v>2</v>
      </c>
      <c r="D54" s="53" cm="1">
        <f t="array" aca="1" ref="D54" ca="1">IF(AND(Datos!$A55&lt;&gt;"",
OR(miCriticidad="",miCriticidad=$C54),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R-51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R-51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R51:R58</v>
      </c>
    </row>
    <row r="55" spans="1:16" ht="15.5" thickTop="1" thickBot="1" x14ac:dyDescent="0.4">
      <c r="A55" s="56" t="str">
        <f>IFERROR(IF(Datos!$A56="","",Idiomas!$A$12&amp;" "&amp;ROW()-1),"")</f>
        <v>Tarea 54</v>
      </c>
      <c r="B55" s="57">
        <f>IFERROR(MATCH(Datos!$A56,Configura!$B$9:$B$18,0),0)</f>
        <v>4</v>
      </c>
      <c r="C55" s="57">
        <f>IFERROR(MATCH(Datos!$B56,Configura!$D$9:$D$11,0),0)</f>
        <v>3</v>
      </c>
      <c r="D55" s="57" cm="1">
        <f t="array" aca="1" ref="D55" ca="1">IF(AND(Datos!$A56&lt;&gt;"",
OR(miCriticidad="",miCriticidad=$C55),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R-42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R-42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R42:R49</v>
      </c>
    </row>
    <row r="56" spans="1:16" ht="15.5" thickTop="1" thickBot="1" x14ac:dyDescent="0.4">
      <c r="A56" s="52" t="str">
        <f>IFERROR(IF(Datos!$A57="","",Idiomas!$A$12&amp;" "&amp;ROW()-1),"")</f>
        <v>Tarea 55</v>
      </c>
      <c r="B56" s="53">
        <f>IFERROR(MATCH(Datos!$A57,Configura!$B$9:$B$18,0),0)</f>
        <v>4</v>
      </c>
      <c r="C56" s="53">
        <f>IFERROR(MATCH(Datos!$B57,Configura!$D$9:$D$11,0),0)</f>
        <v>1</v>
      </c>
      <c r="D56" s="53" cm="1">
        <f t="array" aca="1" ref="D56" ca="1">IF(AND(Datos!$A57&lt;&gt;"",
OR(miCriticidad="",miCriticidad=$C56),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R-33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R-33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R33:R40</v>
      </c>
    </row>
    <row r="57" spans="1:16" ht="15.5" thickTop="1" thickBot="1" x14ac:dyDescent="0.4">
      <c r="A57" s="56" t="str">
        <f>IFERROR(IF(Datos!$A58="","",Idiomas!$A$12&amp;" "&amp;ROW()-1),"")</f>
        <v>Tarea 56</v>
      </c>
      <c r="B57" s="57">
        <f>IFERROR(MATCH(Datos!$A58,Configura!$B$9:$B$18,0),0)</f>
        <v>4</v>
      </c>
      <c r="C57" s="57">
        <f>IFERROR(MATCH(Datos!$B58,Configura!$D$9:$D$11,0),0)</f>
        <v>1</v>
      </c>
      <c r="D57" s="57" cm="1">
        <f t="array" aca="1" ref="D57" ca="1">IF(AND(Datos!$A58&lt;&gt;"",
OR(miCriticidad="",miCriticidad=$C57),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R-24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R-24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R24:R31</v>
      </c>
    </row>
    <row r="58" spans="1:16" ht="15.5" thickTop="1" thickBot="1" x14ac:dyDescent="0.4">
      <c r="A58" s="52" t="str">
        <f>IFERROR(IF(Datos!$A59="","",Idiomas!$A$12&amp;" "&amp;ROW()-1),"")</f>
        <v>Tarea 57</v>
      </c>
      <c r="B58" s="53">
        <f>IFERROR(MATCH(Datos!$A59,Configura!$B$9:$B$18,0),0)</f>
        <v>4</v>
      </c>
      <c r="C58" s="53">
        <f>IFERROR(MATCH(Datos!$B59,Configura!$D$9:$D$11,0),0)</f>
        <v>1</v>
      </c>
      <c r="D58" s="53" cm="1">
        <f t="array" aca="1" ref="D58" ca="1">IF(AND(Datos!$A59&lt;&gt;"",
OR(miCriticidad="",miCriticidad=$C58),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R-15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R-15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R15:R22</v>
      </c>
    </row>
    <row r="59" spans="1:16" ht="15.5" thickTop="1" thickBot="1" x14ac:dyDescent="0.4">
      <c r="A59" s="56" t="str">
        <f>IFERROR(IF(Datos!$A60="","",Idiomas!$A$12&amp;" "&amp;ROW()-1),"")</f>
        <v>Tarea 58</v>
      </c>
      <c r="B59" s="57">
        <f>IFERROR(MATCH(Datos!$A60,Configura!$B$9:$B$18,0),0)</f>
        <v>1</v>
      </c>
      <c r="C59" s="57">
        <f>IFERROR(MATCH(Datos!$B60,Configura!$D$9:$D$11,0),0)</f>
        <v>1</v>
      </c>
      <c r="D59" s="57" cm="1">
        <f t="array" aca="1" ref="D59" ca="1">IF(AND(Datos!$A60&lt;&gt;"",
OR(miCriticidad="",miCriticidad=$C59),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59" s="58" t="str">
        <f t="shared" ca="1" si="7"/>
        <v>C-15</v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C-15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C15:C22</v>
      </c>
    </row>
    <row r="60" spans="1:16" ht="15.5" thickTop="1" thickBot="1" x14ac:dyDescent="0.4">
      <c r="A60" s="52" t="str">
        <f>IFERROR(IF(Datos!$A61="","",Idiomas!$A$12&amp;" "&amp;ROW()-1),"")</f>
        <v>Tarea 59</v>
      </c>
      <c r="B60" s="53">
        <f>IFERROR(MATCH(Datos!$A61,Configura!$B$9:$B$18,0),0)</f>
        <v>1</v>
      </c>
      <c r="C60" s="53">
        <f>IFERROR(MATCH(Datos!$B61,Configura!$D$9:$D$11,0),0)</f>
        <v>1</v>
      </c>
      <c r="D60" s="53" cm="1">
        <f t="array" aca="1" ref="D60" ca="1">IF(AND(Datos!$A61&lt;&gt;"",
OR(miCriticidad="",miCriticidad=$C60),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0" s="54" t="str">
        <f t="shared" ca="1" si="7"/>
        <v>C-6</v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C-6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C6:C13</v>
      </c>
    </row>
    <row r="61" spans="1:16" ht="15.5" thickTop="1" thickBot="1" x14ac:dyDescent="0.4">
      <c r="A61" s="56" t="str">
        <f>IFERROR(IF(Datos!$A62="","",Idiomas!$A$12&amp;" "&amp;ROW()-1),"")</f>
        <v>Tarea 60</v>
      </c>
      <c r="B61" s="57">
        <f>IFERROR(MATCH(Datos!$A62,Configura!$B$9:$B$18,0),0)</f>
        <v>2</v>
      </c>
      <c r="C61" s="57">
        <f>IFERROR(MATCH(Datos!$B62,Configura!$D$9:$D$11,0),0)</f>
        <v>2</v>
      </c>
      <c r="D61" s="57" cm="1">
        <f t="array" aca="1" ref="D61" ca="1">IF(AND(Datos!$A62&lt;&gt;"",
OR(miCriticidad="",miCriticidad=$C61),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1" s="58" t="str">
        <f t="shared" ca="1" si="7"/>
        <v/>
      </c>
      <c r="F61" s="58" t="str">
        <f t="shared" ca="1" si="7"/>
        <v>H-87</v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H-87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H87:H94</v>
      </c>
    </row>
    <row r="62" spans="1:16" ht="15.5" thickTop="1" thickBot="1" x14ac:dyDescent="0.4">
      <c r="A62" s="52" t="str">
        <f>IFERROR(IF(Datos!$A63="","",Idiomas!$A$12&amp;" "&amp;ROW()-1),"")</f>
        <v>Tarea 61</v>
      </c>
      <c r="B62" s="53">
        <f>IFERROR(MATCH(Datos!$A63,Configura!$B$9:$B$18,0),0)</f>
        <v>2</v>
      </c>
      <c r="C62" s="53">
        <f>IFERROR(MATCH(Datos!$B63,Configura!$D$9:$D$11,0),0)</f>
        <v>2</v>
      </c>
      <c r="D62" s="53" cm="1">
        <f t="array" aca="1" ref="D62" ca="1">IF(AND(Datos!$A63&lt;&gt;"",
OR(miCriticidad="",miCriticidad=$C62),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>H-78</v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H-78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H78:H85</v>
      </c>
    </row>
    <row r="63" spans="1:16" ht="15.5" thickTop="1" thickBot="1" x14ac:dyDescent="0.4">
      <c r="A63" s="56" t="str">
        <f>IFERROR(IF(Datos!$A64="","",Idiomas!$A$12&amp;" "&amp;ROW()-1),"")</f>
        <v>Tarea 62</v>
      </c>
      <c r="B63" s="57">
        <f>IFERROR(MATCH(Datos!$A64,Configura!$B$9:$B$18,0),0)</f>
        <v>2</v>
      </c>
      <c r="C63" s="57">
        <f>IFERROR(MATCH(Datos!$B64,Configura!$D$9:$D$11,0),0)</f>
        <v>1</v>
      </c>
      <c r="D63" s="57" cm="1">
        <f t="array" aca="1" ref="D63" ca="1">IF(AND(Datos!$A64&lt;&gt;"",
OR(miCriticidad="",miCriticidad=$C63),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3" s="58" t="str">
        <f t="shared" ca="1" si="8"/>
        <v/>
      </c>
      <c r="F63" s="58" t="str">
        <f t="shared" ca="1" si="8"/>
        <v>H-69</v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H-69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H69:H76</v>
      </c>
    </row>
    <row r="64" spans="1:16" ht="15.5" thickTop="1" thickBot="1" x14ac:dyDescent="0.4">
      <c r="A64" s="52" t="str">
        <f>IFERROR(IF(Datos!$A65="","",Idiomas!$A$12&amp;" "&amp;ROW()-1),"")</f>
        <v>Tarea 63</v>
      </c>
      <c r="B64" s="53">
        <f>IFERROR(MATCH(Datos!$A65,Configura!$B$9:$B$18,0),0)</f>
        <v>2</v>
      </c>
      <c r="C64" s="53">
        <f>IFERROR(MATCH(Datos!$B65,Configura!$D$9:$D$11,0),0)</f>
        <v>1</v>
      </c>
      <c r="D64" s="53" cm="1">
        <f t="array" aca="1" ref="D64" ca="1">IF(AND(Datos!$A65&lt;&gt;"",
OR(miCriticidad="",miCriticidad=$C64),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1</v>
      </c>
      <c r="E64" s="54" t="str">
        <f t="shared" ca="1" si="8"/>
        <v/>
      </c>
      <c r="F64" s="54" t="str">
        <f t="shared" ca="1" si="8"/>
        <v>H-60</v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>H-60</v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>H60:H67</v>
      </c>
    </row>
    <row r="65" spans="1:16" ht="15.5" thickTop="1" thickBot="1" x14ac:dyDescent="0.4">
      <c r="A65" s="56" t="str">
        <f>IFERROR(IF(Datos!$A66="","",Idiomas!$A$12&amp;" "&amp;ROW()-1),"")</f>
        <v>Tarea 64</v>
      </c>
      <c r="B65" s="57">
        <f>IFERROR(MATCH(Datos!$A66,Configura!$B$9:$B$18,0),0)</f>
        <v>2</v>
      </c>
      <c r="C65" s="57">
        <f>IFERROR(MATCH(Datos!$B66,Configura!$D$9:$D$11,0),0)</f>
        <v>2</v>
      </c>
      <c r="D65" s="57" cm="1">
        <f t="array" aca="1" ref="D65" ca="1">IF(AND(Datos!$A66&lt;&gt;"",
OR(miCriticidad="",miCriticidad=$C65),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1</v>
      </c>
      <c r="E65" s="58" t="str">
        <f t="shared" ca="1" si="8"/>
        <v/>
      </c>
      <c r="F65" s="58" t="str">
        <f t="shared" ca="1" si="8"/>
        <v>H-51</v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>H-51</v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>H51:H58</v>
      </c>
    </row>
    <row r="66" spans="1:16" ht="15.5" thickTop="1" thickBot="1" x14ac:dyDescent="0.4">
      <c r="A66" s="52" t="str">
        <f>IFERROR(IF(Datos!$A67="","",Idiomas!$A$12&amp;" "&amp;ROW()-1),"")</f>
        <v>Tarea 65</v>
      </c>
      <c r="B66" s="53">
        <f>IFERROR(MATCH(Datos!$A67,Configura!$B$9:$B$18,0),0)</f>
        <v>2</v>
      </c>
      <c r="C66" s="53">
        <f>IFERROR(MATCH(Datos!$B67,Configura!$D$9:$D$11,0),0)</f>
        <v>2</v>
      </c>
      <c r="D66" s="53" cm="1">
        <f t="array" aca="1" ref="D66" ca="1">IF(AND(Datos!$A67&lt;&gt;"",
OR(miCriticidad="",miCriticidad=$C66),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1</v>
      </c>
      <c r="E66" s="54" t="str">
        <f t="shared" ca="1" si="8"/>
        <v/>
      </c>
      <c r="F66" s="54" t="str">
        <f t="shared" ca="1" si="8"/>
        <v>H-42</v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>H-42</v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>H42:H49</v>
      </c>
    </row>
    <row r="67" spans="1:16" ht="15.5" thickTop="1" thickBot="1" x14ac:dyDescent="0.4">
      <c r="A67" s="56" t="str">
        <f>IFERROR(IF(Datos!$A68="","",Idiomas!$A$12&amp;" "&amp;ROW()-1),"")</f>
        <v>Tarea 66</v>
      </c>
      <c r="B67" s="57">
        <f>IFERROR(MATCH(Datos!$A68,Configura!$B$9:$B$18,0),0)</f>
        <v>2</v>
      </c>
      <c r="C67" s="57">
        <f>IFERROR(MATCH(Datos!$B68,Configura!$D$9:$D$11,0),0)</f>
        <v>2</v>
      </c>
      <c r="D67" s="57" cm="1">
        <f t="array" aca="1" ref="D67" ca="1">IF(AND(Datos!$A68&lt;&gt;"",
OR(miCriticidad="",miCriticidad=$C67),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1</v>
      </c>
      <c r="E67" s="58" t="str">
        <f t="shared" ca="1" si="8"/>
        <v/>
      </c>
      <c r="F67" s="58" t="str">
        <f t="shared" ca="1" si="8"/>
        <v>H-33</v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>H-33</v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>H33:H40</v>
      </c>
    </row>
    <row r="68" spans="1:16" ht="15.5" thickTop="1" thickBot="1" x14ac:dyDescent="0.4">
      <c r="A68" s="52" t="str">
        <f>IFERROR(IF(Datos!$A69="","",Idiomas!$A$12&amp;" "&amp;ROW()-1),"")</f>
        <v>Tarea 67</v>
      </c>
      <c r="B68" s="53">
        <f>IFERROR(MATCH(Datos!$A69,Configura!$B$9:$B$18,0),0)</f>
        <v>2</v>
      </c>
      <c r="C68" s="53">
        <f>IFERROR(MATCH(Datos!$B69,Configura!$D$9:$D$11,0),0)</f>
        <v>2</v>
      </c>
      <c r="D68" s="53" cm="1">
        <f t="array" aca="1" ref="D68" ca="1">IF(AND(Datos!$A69&lt;&gt;"",
OR(miCriticidad="",miCriticidad=$C68),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1</v>
      </c>
      <c r="E68" s="54" t="str">
        <f t="shared" ca="1" si="8"/>
        <v/>
      </c>
      <c r="F68" s="54" t="str">
        <f t="shared" ca="1" si="8"/>
        <v>H-24</v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>H-24</v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>H24:H31</v>
      </c>
    </row>
    <row r="69" spans="1:16" ht="15.5" thickTop="1" thickBot="1" x14ac:dyDescent="0.4">
      <c r="A69" s="56" t="str">
        <f>IFERROR(IF(Datos!$A70="","",Idiomas!$A$12&amp;" "&amp;ROW()-1),"")</f>
        <v>Tarea 68</v>
      </c>
      <c r="B69" s="57">
        <f>IFERROR(MATCH(Datos!$A70,Configura!$B$9:$B$18,0),0)</f>
        <v>2</v>
      </c>
      <c r="C69" s="57">
        <f>IFERROR(MATCH(Datos!$B70,Configura!$D$9:$D$11,0),0)</f>
        <v>2</v>
      </c>
      <c r="D69" s="57" cm="1">
        <f t="array" aca="1" ref="D69" ca="1">IF(AND(Datos!$A70&lt;&gt;"",
OR(miCriticidad="",miCriticidad=$C69),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1</v>
      </c>
      <c r="E69" s="58" t="str">
        <f t="shared" ca="1" si="8"/>
        <v/>
      </c>
      <c r="F69" s="58" t="str">
        <f t="shared" ca="1" si="8"/>
        <v>H-15</v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>H-15</v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>H15:H22</v>
      </c>
    </row>
    <row r="70" spans="1:16" ht="15.5" thickTop="1" thickBot="1" x14ac:dyDescent="0.4">
      <c r="A70" s="52" t="str">
        <f>IFERROR(IF(Datos!$A71="","",Idiomas!$A$12&amp;" "&amp;ROW()-1),"")</f>
        <v>Tarea 69</v>
      </c>
      <c r="B70" s="53">
        <f>IFERROR(MATCH(Datos!$A71,Configura!$B$9:$B$18,0),0)</f>
        <v>2</v>
      </c>
      <c r="C70" s="53">
        <f>IFERROR(MATCH(Datos!$B71,Configura!$D$9:$D$11,0),0)</f>
        <v>2</v>
      </c>
      <c r="D70" s="53" cm="1">
        <f t="array" aca="1" ref="D70" ca="1">IF(AND(Datos!$A71&lt;&gt;"",
OR(miCriticidad="",miCriticidad=$C70),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1</v>
      </c>
      <c r="E70" s="54" t="str">
        <f t="shared" ca="1" si="8"/>
        <v/>
      </c>
      <c r="F70" s="54" t="str">
        <f t="shared" ca="1" si="8"/>
        <v>H-6</v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>H-6</v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>H6:H13</v>
      </c>
    </row>
    <row r="71" spans="1:16" ht="15.5" thickTop="1" thickBot="1" x14ac:dyDescent="0.4">
      <c r="A71" s="56" t="str">
        <f>IFERROR(IF(Datos!$A72="","",Idiomas!$A$12&amp;" "&amp;ROW()-1),"")</f>
        <v/>
      </c>
      <c r="B71" s="57">
        <f>IFERROR(MATCH(Datos!$A72,Configura!$B$9:$B$18,0),0)</f>
        <v>0</v>
      </c>
      <c r="C71" s="57">
        <f>IFERROR(MATCH(Datos!$B72,Configura!$D$9:$D$11,0),0)</f>
        <v>0</v>
      </c>
      <c r="D71" s="57" cm="1">
        <f t="array" ref="D71">IF(AND(Datos!$A72&lt;&gt;"",
OR(miCriticidad="",miCriticidad=$C71),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IFERROR(IF(Datos!$A73="","",Idiomas!$A$12&amp;" "&amp;ROW()-1),"")</f>
        <v/>
      </c>
      <c r="B72" s="53">
        <f>IFERROR(MATCH(Datos!$A73,Configura!$B$9:$B$18,0),0)</f>
        <v>0</v>
      </c>
      <c r="C72" s="53">
        <f>IFERROR(MATCH(Datos!$B73,Configura!$D$9:$D$11,0),0)</f>
        <v>0</v>
      </c>
      <c r="D72" s="53" cm="1">
        <f t="array" ref="D72">IF(AND(Datos!$A73&lt;&gt;"",
OR(miCriticidad="",miCriticidad=$C72),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IFERROR(IF(Datos!$A74="","",Idiomas!$A$12&amp;" "&amp;ROW()-1),"")</f>
        <v/>
      </c>
      <c r="B73" s="57">
        <f>IFERROR(MATCH(Datos!$A74,Configura!$B$9:$B$18,0),0)</f>
        <v>0</v>
      </c>
      <c r="C73" s="57">
        <f>IFERROR(MATCH(Datos!$B74,Configura!$D$9:$D$11,0),0)</f>
        <v>0</v>
      </c>
      <c r="D73" s="57" cm="1">
        <f t="array" ref="D73">IF(AND(Datos!$A74&lt;&gt;"",
OR(miCriticidad="",miCriticidad=$C73),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IFERROR(IF(Datos!$A75="","",Idiomas!$A$12&amp;" "&amp;ROW()-1),"")</f>
        <v/>
      </c>
      <c r="B74" s="53">
        <f>IFERROR(MATCH(Datos!$A75,Configura!$B$9:$B$18,0),0)</f>
        <v>0</v>
      </c>
      <c r="C74" s="53">
        <f>IFERROR(MATCH(Datos!$B75,Configura!$D$9:$D$11,0),0)</f>
        <v>0</v>
      </c>
      <c r="D74" s="53" cm="1">
        <f t="array" ref="D74">IF(AND(Datos!$A75&lt;&gt;"",
OR(miCriticidad="",miCriticidad=$C74),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IFERROR(IF(Datos!$A76="","",Idiomas!$A$12&amp;" "&amp;ROW()-1),"")</f>
        <v/>
      </c>
      <c r="B75" s="57">
        <f>IFERROR(MATCH(Datos!$A76,Configura!$B$9:$B$18,0),0)</f>
        <v>0</v>
      </c>
      <c r="C75" s="57">
        <f>IFERROR(MATCH(Datos!$B76,Configura!$D$9:$D$11,0),0)</f>
        <v>0</v>
      </c>
      <c r="D75" s="57" cm="1">
        <f t="array" ref="D75">IF(AND(Datos!$A76&lt;&gt;"",
OR(miCriticidad="",miCriticidad=$C75),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IFERROR(IF(Datos!$A77="","",Idiomas!$A$12&amp;" "&amp;ROW()-1),"")</f>
        <v/>
      </c>
      <c r="B76" s="53">
        <f>IFERROR(MATCH(Datos!$A77,Configura!$B$9:$B$18,0),0)</f>
        <v>0</v>
      </c>
      <c r="C76" s="53">
        <f>IFERROR(MATCH(Datos!$B77,Configura!$D$9:$D$11,0),0)</f>
        <v>0</v>
      </c>
      <c r="D76" s="53" cm="1">
        <f t="array" ref="D76">IF(AND(Datos!$A77&lt;&gt;"",
OR(miCriticidad="",miCriticidad=$C76),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IFERROR(IF(Datos!$A78="","",Idiomas!$A$12&amp;" "&amp;ROW()-1),"")</f>
        <v/>
      </c>
      <c r="B77" s="57">
        <f>IFERROR(MATCH(Datos!$A78,Configura!$B$9:$B$18,0),0)</f>
        <v>0</v>
      </c>
      <c r="C77" s="57">
        <f>IFERROR(MATCH(Datos!$B78,Configura!$D$9:$D$11,0),0)</f>
        <v>0</v>
      </c>
      <c r="D77" s="57" cm="1">
        <f t="array" ref="D77">IF(AND(Datos!$A78&lt;&gt;"",
OR(miCriticidad="",miCriticidad=$C77),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IFERROR(IF(Datos!$A79="","",Idiomas!$A$12&amp;" "&amp;ROW()-1),"")</f>
        <v/>
      </c>
      <c r="B78" s="53">
        <f>IFERROR(MATCH(Datos!$A79,Configura!$B$9:$B$18,0),0)</f>
        <v>0</v>
      </c>
      <c r="C78" s="53">
        <f>IFERROR(MATCH(Datos!$B79,Configura!$D$9:$D$11,0),0)</f>
        <v>0</v>
      </c>
      <c r="D78" s="53" cm="1">
        <f t="array" ref="D78">IF(AND(Datos!$A79&lt;&gt;"",
OR(miCriticidad="",miCriticidad=$C78),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IFERROR(IF(Datos!$A80="","",Idiomas!$A$12&amp;" "&amp;ROW()-1),"")</f>
        <v/>
      </c>
      <c r="B79" s="57">
        <f>IFERROR(MATCH(Datos!$A80,Configura!$B$9:$B$18,0),0)</f>
        <v>0</v>
      </c>
      <c r="C79" s="57">
        <f>IFERROR(MATCH(Datos!$B80,Configura!$D$9:$D$11,0),0)</f>
        <v>0</v>
      </c>
      <c r="D79" s="57" cm="1">
        <f t="array" ref="D79">IF(AND(Datos!$A80&lt;&gt;"",
OR(miCriticidad="",miCriticidad=$C79),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IFERROR(IF(Datos!$A81="","",Idiomas!$A$12&amp;" "&amp;ROW()-1),"")</f>
        <v/>
      </c>
      <c r="B80" s="53">
        <f>IFERROR(MATCH(Datos!$A81,Configura!$B$9:$B$18,0),0)</f>
        <v>0</v>
      </c>
      <c r="C80" s="53">
        <f>IFERROR(MATCH(Datos!$B81,Configura!$D$9:$D$11,0),0)</f>
        <v>0</v>
      </c>
      <c r="D80" s="53" cm="1">
        <f t="array" ref="D80">IF(AND(Datos!$A81&lt;&gt;"",
OR(miCriticidad="",miCriticidad=$C80),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IFERROR(IF(Datos!$A82="","",Idiomas!$A$12&amp;" "&amp;ROW()-1),"")</f>
        <v/>
      </c>
      <c r="B81" s="57">
        <f>IFERROR(MATCH(Datos!$A82,Configura!$B$9:$B$18,0),0)</f>
        <v>0</v>
      </c>
      <c r="C81" s="57">
        <f>IFERROR(MATCH(Datos!$B82,Configura!$D$9:$D$11,0),0)</f>
        <v>0</v>
      </c>
      <c r="D81" s="57" cm="1">
        <f t="array" ref="D81">IF(AND(Datos!$A82&lt;&gt;"",
OR(miCriticidad="",miCriticidad=$C81),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IFERROR(IF(Datos!$A83="","",Idiomas!$A$12&amp;" "&amp;ROW()-1),"")</f>
        <v/>
      </c>
      <c r="B82" s="53">
        <f>IFERROR(MATCH(Datos!$A83,Configura!$B$9:$B$18,0),0)</f>
        <v>0</v>
      </c>
      <c r="C82" s="53">
        <f>IFERROR(MATCH(Datos!$B83,Configura!$D$9:$D$11,0),0)</f>
        <v>0</v>
      </c>
      <c r="D82" s="53" cm="1">
        <f t="array" ref="D82">IF(AND(Datos!$A83&lt;&gt;"",
OR(miCriticidad="",miCriticidad=$C82),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IFERROR(IF(Datos!$A84="","",Idiomas!$A$12&amp;" "&amp;ROW()-1),"")</f>
        <v/>
      </c>
      <c r="B83" s="57">
        <f>IFERROR(MATCH(Datos!$A84,Configura!$B$9:$B$18,0),0)</f>
        <v>0</v>
      </c>
      <c r="C83" s="57">
        <f>IFERROR(MATCH(Datos!$B84,Configura!$D$9:$D$11,0),0)</f>
        <v>0</v>
      </c>
      <c r="D83" s="57" cm="1">
        <f t="array" ref="D83">IF(AND(Datos!$A84&lt;&gt;"",
OR(miCriticidad="",miCriticidad=$C83),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IFERROR(IF(Datos!$A85="","",Idiomas!$A$12&amp;" "&amp;ROW()-1),"")</f>
        <v/>
      </c>
      <c r="B84" s="53">
        <f>IFERROR(MATCH(Datos!$A85,Configura!$B$9:$B$18,0),0)</f>
        <v>0</v>
      </c>
      <c r="C84" s="53">
        <f>IFERROR(MATCH(Datos!$B85,Configura!$D$9:$D$11,0),0)</f>
        <v>0</v>
      </c>
      <c r="D84" s="53" cm="1">
        <f t="array" ref="D84">IF(AND(Datos!$A85&lt;&gt;"",
OR(miCriticidad="",miCriticidad=$C84),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IFERROR(IF(Datos!$A86="","",Idiomas!$A$12&amp;" "&amp;ROW()-1),"")</f>
        <v>Tarea 84</v>
      </c>
      <c r="B85" s="57">
        <f>IFERROR(MATCH(Datos!$A86,Configura!$B$9:$B$18,0),0)</f>
        <v>4</v>
      </c>
      <c r="C85" s="57">
        <f>IFERROR(MATCH(Datos!$B86,Configura!$D$9:$D$11,0),0)</f>
        <v>3</v>
      </c>
      <c r="D85" s="57" cm="1">
        <f t="array" aca="1" ref="D85" ca="1">IF(AND(Datos!$A86&lt;&gt;"",
OR(miCriticidad="",miCriticidad=$C85),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IFERROR(IF(Datos!$A87="","",Idiomas!$A$12&amp;" "&amp;ROW()-1),"")</f>
        <v/>
      </c>
      <c r="B86" s="53">
        <f>IFERROR(MATCH(Datos!$A87,Configura!$B$9:$B$18,0),0)</f>
        <v>0</v>
      </c>
      <c r="C86" s="53">
        <f>IFERROR(MATCH(Datos!$B87,Configura!$D$9:$D$11,0),0)</f>
        <v>0</v>
      </c>
      <c r="D86" s="53" cm="1">
        <f t="array" ref="D86">IF(AND(Datos!$A87&lt;&gt;"",
OR(miCriticidad="",miCriticidad=$C86),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IFERROR(IF(Datos!$A88="","",Idiomas!$A$12&amp;" "&amp;ROW()-1),"")</f>
        <v/>
      </c>
      <c r="B87" s="57">
        <f>IFERROR(MATCH(Datos!$A88,Configura!$B$9:$B$18,0),0)</f>
        <v>0</v>
      </c>
      <c r="C87" s="57">
        <f>IFERROR(MATCH(Datos!$B88,Configura!$D$9:$D$11,0),0)</f>
        <v>0</v>
      </c>
      <c r="D87" s="57" cm="1">
        <f t="array" ref="D87">IF(AND(Datos!$A88&lt;&gt;"",
OR(miCriticidad="",miCriticidad=$C87),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IFERROR(IF(Datos!$A89="","",Idiomas!$A$12&amp;" "&amp;ROW()-1),"")</f>
        <v/>
      </c>
      <c r="B88" s="53">
        <f>IFERROR(MATCH(Datos!$A89,Configura!$B$9:$B$18,0),0)</f>
        <v>0</v>
      </c>
      <c r="C88" s="53">
        <f>IFERROR(MATCH(Datos!$B89,Configura!$D$9:$D$11,0),0)</f>
        <v>0</v>
      </c>
      <c r="D88" s="53" cm="1">
        <f t="array" ref="D88">IF(AND(Datos!$A89&lt;&gt;"",
OR(miCriticidad="",miCriticidad=$C88),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IFERROR(IF(Datos!$A90="","",Idiomas!$A$12&amp;" "&amp;ROW()-1),"")</f>
        <v/>
      </c>
      <c r="B89" s="57">
        <f>IFERROR(MATCH(Datos!$A90,Configura!$B$9:$B$18,0),0)</f>
        <v>0</v>
      </c>
      <c r="C89" s="57">
        <f>IFERROR(MATCH(Datos!$B90,Configura!$D$9:$D$11,0),0)</f>
        <v>0</v>
      </c>
      <c r="D89" s="57" cm="1">
        <f t="array" ref="D89">IF(AND(Datos!$A90&lt;&gt;"",
OR(miCriticidad="",miCriticidad=$C89),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IFERROR(IF(Datos!$A91="","",Idiomas!$A$12&amp;" "&amp;ROW()-1),"")</f>
        <v/>
      </c>
      <c r="B90" s="53">
        <f>IFERROR(MATCH(Datos!$A91,Configura!$B$9:$B$18,0),0)</f>
        <v>0</v>
      </c>
      <c r="C90" s="53">
        <f>IFERROR(MATCH(Datos!$B91,Configura!$D$9:$D$11,0),0)</f>
        <v>0</v>
      </c>
      <c r="D90" s="53" cm="1">
        <f t="array" ref="D90">IF(AND(Datos!$A91&lt;&gt;"",
OR(miCriticidad="",miCriticidad=$C90),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IFERROR(IF(Datos!$A92="","",Idiomas!$A$12&amp;" "&amp;ROW()-1),"")</f>
        <v/>
      </c>
      <c r="B91" s="57">
        <f>IFERROR(MATCH(Datos!$A92,Configura!$B$9:$B$18,0),0)</f>
        <v>0</v>
      </c>
      <c r="C91" s="57">
        <f>IFERROR(MATCH(Datos!$B92,Configura!$D$9:$D$11,0),0)</f>
        <v>0</v>
      </c>
      <c r="D91" s="57" cm="1">
        <f t="array" ref="D91">IF(AND(Datos!$A92&lt;&gt;"",
OR(miCriticidad="",miCriticidad=$C91),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IFERROR(IF(Datos!$A93="","",Idiomas!$A$12&amp;" "&amp;ROW()-1),"")</f>
        <v/>
      </c>
      <c r="B92" s="53">
        <f>IFERROR(MATCH(Datos!$A93,Configura!$B$9:$B$18,0),0)</f>
        <v>0</v>
      </c>
      <c r="C92" s="53">
        <f>IFERROR(MATCH(Datos!$B93,Configura!$D$9:$D$11,0),0)</f>
        <v>0</v>
      </c>
      <c r="D92" s="53" cm="1">
        <f t="array" ref="D92">IF(AND(Datos!$A93&lt;&gt;"",
OR(miCriticidad="",miCriticidad=$C92),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IFERROR(IF(Datos!$A94="","",Idiomas!$A$12&amp;" "&amp;ROW()-1),"")</f>
        <v/>
      </c>
      <c r="B93" s="57">
        <f>IFERROR(MATCH(Datos!$A94,Configura!$B$9:$B$18,0),0)</f>
        <v>0</v>
      </c>
      <c r="C93" s="57">
        <f>IFERROR(MATCH(Datos!$B94,Configura!$D$9:$D$11,0),0)</f>
        <v>0</v>
      </c>
      <c r="D93" s="57" cm="1">
        <f t="array" ref="D93">IF(AND(Datos!$A94&lt;&gt;"",
OR(miCriticidad="",miCriticidad=$C93),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IFERROR(IF(Datos!$A95="","",Idiomas!$A$12&amp;" "&amp;ROW()-1),"")</f>
        <v/>
      </c>
      <c r="B94" s="53">
        <f>IFERROR(MATCH(Datos!$A95,Configura!$B$9:$B$18,0),0)</f>
        <v>0</v>
      </c>
      <c r="C94" s="53">
        <f>IFERROR(MATCH(Datos!$B95,Configura!$D$9:$D$11,0),0)</f>
        <v>0</v>
      </c>
      <c r="D94" s="53" cm="1">
        <f t="array" ref="D94">IF(AND(Datos!$A95&lt;&gt;"",
OR(miCriticidad="",miCriticidad=$C94),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IFERROR(IF(Datos!$A96="","",Idiomas!$A$12&amp;" "&amp;ROW()-1),"")</f>
        <v/>
      </c>
      <c r="B95" s="57">
        <f>IFERROR(MATCH(Datos!$A96,Configura!$B$9:$B$18,0),0)</f>
        <v>0</v>
      </c>
      <c r="C95" s="57">
        <f>IFERROR(MATCH(Datos!$B96,Configura!$D$9:$D$11,0),0)</f>
        <v>0</v>
      </c>
      <c r="D95" s="57" cm="1">
        <f t="array" ref="D95">IF(AND(Datos!$A96&lt;&gt;"",
OR(miCriticidad="",miCriticidad=$C95),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IFERROR(IF(Datos!$A97="","",Idiomas!$A$12&amp;" "&amp;ROW()-1),"")</f>
        <v/>
      </c>
      <c r="B96" s="53">
        <f>IFERROR(MATCH(Datos!$A97,Configura!$B$9:$B$18,0),0)</f>
        <v>0</v>
      </c>
      <c r="C96" s="53">
        <f>IFERROR(MATCH(Datos!$B97,Configura!$D$9:$D$11,0),0)</f>
        <v>0</v>
      </c>
      <c r="D96" s="53" cm="1">
        <f t="array" ref="D96">IF(AND(Datos!$A97&lt;&gt;"",
OR(miCriticidad="",miCriticidad=$C96),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IFERROR(IF(Datos!$A98="","",Idiomas!$A$12&amp;" "&amp;ROW()-1),"")</f>
        <v/>
      </c>
      <c r="B97" s="57">
        <f>IFERROR(MATCH(Datos!$A98,Configura!$B$9:$B$18,0),0)</f>
        <v>0</v>
      </c>
      <c r="C97" s="57">
        <f>IFERROR(MATCH(Datos!$B98,Configura!$D$9:$D$11,0),0)</f>
        <v>0</v>
      </c>
      <c r="D97" s="57" cm="1">
        <f t="array" ref="D97">IF(AND(Datos!$A98&lt;&gt;"",
OR(miCriticidad="",miCriticidad=$C97),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IFERROR(IF(Datos!$A99="","",Idiomas!$A$12&amp;" "&amp;ROW()-1),"")</f>
        <v/>
      </c>
      <c r="B98" s="53">
        <f>IFERROR(MATCH(Datos!$A99,Configura!$B$9:$B$18,0),0)</f>
        <v>0</v>
      </c>
      <c r="C98" s="53">
        <f>IFERROR(MATCH(Datos!$B99,Configura!$D$9:$D$11,0),0)</f>
        <v>0</v>
      </c>
      <c r="D98" s="53" cm="1">
        <f t="array" ref="D98">IF(AND(Datos!$A99&lt;&gt;"",
OR(miCriticidad="",miCriticidad=$C98),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IFERROR(IF(Datos!$A100="","",Idiomas!$A$12&amp;" "&amp;ROW()-1),"")</f>
        <v/>
      </c>
      <c r="B99" s="57">
        <f>IFERROR(MATCH(Datos!$A100,Configura!$B$9:$B$18,0),0)</f>
        <v>0</v>
      </c>
      <c r="C99" s="57">
        <f>IFERROR(MATCH(Datos!$B100,Configura!$D$9:$D$11,0),0)</f>
        <v>0</v>
      </c>
      <c r="D99" s="57" cm="1">
        <f t="array" ref="D99">IF(AND(Datos!$A100&lt;&gt;"",
OR(miCriticidad="",miCriticidad=$C99),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IFERROR(IF(Datos!$A101="","",Idiomas!$A$12&amp;" "&amp;ROW()-1),"")</f>
        <v/>
      </c>
      <c r="B100" s="53">
        <f>IFERROR(MATCH(Datos!$A101,Configura!$B$9:$B$18,0),0)</f>
        <v>0</v>
      </c>
      <c r="C100" s="53">
        <f>IFERROR(MATCH(Datos!$B101,Configura!$D$9:$D$11,0),0)</f>
        <v>0</v>
      </c>
      <c r="D100" s="53" cm="1">
        <f t="array" ref="D100">IF(AND(Datos!$A101&lt;&gt;"",
OR(miCriticidad="",miCriticidad=$C100),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IFERROR(IF(Datos!$A102="","",Idiomas!$A$12&amp;" "&amp;ROW()-1),"")</f>
        <v/>
      </c>
      <c r="B101" s="61">
        <f>IFERROR(MATCH(Datos!$A102,Configura!$B$9:$B$18,0),0)</f>
        <v>0</v>
      </c>
      <c r="C101" s="61">
        <f>IFERROR(MATCH(Datos!$B102,Configura!$D$9:$D$11,0),0)</f>
        <v>0</v>
      </c>
      <c r="D101" s="61" cm="1">
        <f t="array" ref="D101">IF(AND(Datos!$A102&lt;&gt;"",
OR(miCriticidad="",miCriticidad=$C101),
OR(miAsignado="",miAsignado=Datos!$J102),
OR(miFechaInicio="",Datos!$E102="",Datos!$E102&gt;=miFechaInicio),
OR(miTexto="",IFERROR(SEARCH(miTexto,Datos!$C102),0)&gt;0,IFERROR(SEARCH(miTexto,Datos!$D102),0)&gt;0),
OR(miRetraso="",IFERROR(--LEFT(Datos!$I102,FIND(" ",Datos!$I102)-1),0)&gt;miRetraso),
OR(miDuración="",IFERROR(--LEFT(Datos!$H102,FIND(" ",Datos!$H102)-1),0)&gt;miDuración)),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59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69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59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69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59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69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59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69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59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69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59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69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59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>
        <f t="shared" ca="1" si="1"/>
        <v>69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59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69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59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69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>
        <f t="shared" ca="1" si="0"/>
        <v>58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1-1</v>
      </c>
      <c r="G12" s="19" t="str">
        <f ca="1"/>
        <v/>
      </c>
      <c r="H12" s="20">
        <f t="shared" ca="1" si="11"/>
        <v>2</v>
      </c>
      <c r="I12" s="20">
        <f t="shared" ca="1" si="1"/>
        <v>68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57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>
        <f t="shared" ca="1" si="0"/>
        <v>58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1-2</v>
      </c>
      <c r="G13" s="19" t="str">
        <f ca="1"/>
        <v/>
      </c>
      <c r="H13" s="20">
        <f t="shared" ca="1" si="11"/>
        <v>2</v>
      </c>
      <c r="I13" s="20">
        <f t="shared" ca="1" si="1"/>
        <v>68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57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>
        <f t="shared" ca="1" si="0"/>
        <v>58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1-3</v>
      </c>
      <c r="G14" s="19" t="str">
        <f ca="1"/>
        <v/>
      </c>
      <c r="H14" s="20">
        <f t="shared" ca="1" si="11"/>
        <v>2</v>
      </c>
      <c r="I14" s="20">
        <f t="shared" ca="1" si="1"/>
        <v>68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57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>
        <f t="shared" ca="1" si="0"/>
        <v>58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1-4</v>
      </c>
      <c r="G15" s="19" t="str">
        <f ca="1"/>
        <v/>
      </c>
      <c r="H15" s="20">
        <f t="shared" ca="1" si="11"/>
        <v>2</v>
      </c>
      <c r="I15" s="20">
        <f t="shared" ca="1" si="1"/>
        <v>68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57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>
        <f t="shared" ca="1" si="0"/>
        <v>58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1-5</v>
      </c>
      <c r="G16" s="19" t="str">
        <f ca="1"/>
        <v/>
      </c>
      <c r="H16" s="20">
        <f t="shared" ca="1" si="11"/>
        <v>2</v>
      </c>
      <c r="I16" s="20">
        <f t="shared" ca="1" si="1"/>
        <v>68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57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>
        <f t="shared" ca="1" si="0"/>
        <v>58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1-6</v>
      </c>
      <c r="G17" s="19" t="str">
        <f ca="1"/>
        <v/>
      </c>
      <c r="H17" s="20">
        <f t="shared" ca="1" si="11"/>
        <v>2</v>
      </c>
      <c r="I17" s="20">
        <f t="shared" ca="1" si="1"/>
        <v>68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57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>
        <f t="shared" ca="1" si="0"/>
        <v>58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1-7</v>
      </c>
      <c r="G18" s="19" t="str">
        <f ca="1"/>
        <v/>
      </c>
      <c r="H18" s="20">
        <f t="shared" ca="1" si="11"/>
        <v>2</v>
      </c>
      <c r="I18" s="20">
        <f t="shared" ca="1" si="1"/>
        <v>68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57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>
        <f t="shared" ca="1" si="0"/>
        <v>58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1-8</v>
      </c>
      <c r="G19" s="19" t="str">
        <f ca="1"/>
        <v/>
      </c>
      <c r="H19" s="20">
        <f t="shared" ca="1" si="11"/>
        <v>2</v>
      </c>
      <c r="I19" s="20">
        <f t="shared" ca="1" si="1"/>
        <v>68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57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>
        <f t="shared" ca="1" si="0"/>
        <v>58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68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57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67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56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67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56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67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56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67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56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67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56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67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56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67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56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67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56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67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56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66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55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66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55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>
        <f t="shared" ca="1" si="1"/>
        <v>66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55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>
        <f t="shared" ca="1" si="1"/>
        <v>66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55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>
        <f t="shared" ca="1" si="1"/>
        <v>66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55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66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55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>
        <f t="shared" ca="1" si="22"/>
        <v>66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55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66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55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66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55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>
        <f t="shared" ca="1" si="22"/>
        <v>65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2-1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54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5</v>
      </c>
      <c r="I40" s="20">
        <f t="shared" ca="1" si="22"/>
        <v>65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2-2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54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5</v>
      </c>
      <c r="I41" s="20">
        <f t="shared" ca="1" si="22"/>
        <v>65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2-3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54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>
        <f t="shared" ca="1" si="22"/>
        <v>65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2-4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54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>
        <f t="shared" ca="1" si="22"/>
        <v>65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2-5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54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>
        <f t="shared" ca="1" si="22"/>
        <v>65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2-6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54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65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2-7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54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65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2-8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54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65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54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64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2-1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53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64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2-2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53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64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2-3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53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64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2-4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53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64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2-5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53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64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2-6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53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64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2-7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53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64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2-8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53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64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53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>
        <f t="shared" ca="1" si="22"/>
        <v>63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1-1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52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>
        <f t="shared" ca="1" si="22"/>
        <v>63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1-2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52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>
        <f ca="1"/>
        <v>58</v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>
        <f t="shared" ca="1" si="22"/>
        <v>63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1-3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52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>
        <f ca="1"/>
        <v>59</v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>
        <f t="shared" ca="1" si="22"/>
        <v>63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1-4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52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>
        <f ca="1"/>
        <v>60</v>
      </c>
      <c r="H61" s="20">
        <f t="shared" ca="1" si="11"/>
        <v>7</v>
      </c>
      <c r="I61" s="20">
        <f t="shared" ca="1" si="22"/>
        <v>63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1-5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52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>
        <f ca="1"/>
        <v>61</v>
      </c>
      <c r="H62" s="20">
        <f t="shared" ca="1" si="11"/>
        <v>7</v>
      </c>
      <c r="I62" s="20">
        <f t="shared" ca="1" si="22"/>
        <v>63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1-6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52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>
        <f ca="1"/>
        <v>62</v>
      </c>
      <c r="H63" s="20">
        <f t="shared" ca="1" si="11"/>
        <v>7</v>
      </c>
      <c r="I63" s="20">
        <f t="shared" ca="1" si="22"/>
        <v>63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1-7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52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>
        <f ca="1"/>
        <v>63</v>
      </c>
      <c r="H64" s="20">
        <f t="shared" ca="1" si="11"/>
        <v>7</v>
      </c>
      <c r="I64" s="20">
        <f t="shared" ca="1" si="22"/>
        <v>63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1-8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52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>
        <f ca="1"/>
        <v>64</v>
      </c>
      <c r="H65" s="20">
        <f t="shared" ca="1" si="11"/>
        <v>7</v>
      </c>
      <c r="I65" s="20">
        <f t="shared" ca="1" si="22"/>
        <v>63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52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>
        <f ca="1"/>
        <v>65</v>
      </c>
      <c r="H66" s="20">
        <f t="shared" ca="1" si="11"/>
        <v>8</v>
      </c>
      <c r="I66" s="20">
        <f t="shared" ca="1" si="22"/>
        <v>62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1-1</v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>
        <f ca="1"/>
        <v>66</v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62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1-2</v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>
        <f ca="1"/>
        <v>67</v>
      </c>
      <c r="H68" s="20">
        <f t="shared" ref="H68:H131" ca="1" si="36">H67--(J67=0)</f>
        <v>8</v>
      </c>
      <c r="I68" s="20">
        <f t="shared" ca="1" si="27"/>
        <v>62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1-3</v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>
        <f ca="1"/>
        <v>68</v>
      </c>
      <c r="H69" s="20">
        <f t="shared" ca="1" si="36"/>
        <v>8</v>
      </c>
      <c r="I69" s="20">
        <f t="shared" ca="1" si="27"/>
        <v>62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1-4</v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>
        <f ca="1"/>
        <v>69</v>
      </c>
      <c r="H70" s="20">
        <f t="shared" ca="1" si="36"/>
        <v>8</v>
      </c>
      <c r="I70" s="20">
        <f t="shared" ca="1" si="27"/>
        <v>62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1-5</v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8</v>
      </c>
      <c r="I71" s="20">
        <f t="shared" ca="1" si="27"/>
        <v>62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1-6</v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8</v>
      </c>
      <c r="I72" s="20">
        <f t="shared" ca="1" si="27"/>
        <v>62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1-7</v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8</v>
      </c>
      <c r="I73" s="20">
        <f t="shared" ca="1" si="27"/>
        <v>62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1-8</v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62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9</v>
      </c>
      <c r="I75" s="20">
        <f t="shared" ca="1" si="27"/>
        <v>61</v>
      </c>
      <c r="J75" s="20" cm="1">
        <f t="array" aca="1" ref="J75" ca="1">IF(I75="","",IF(I75&lt;&gt;I74,1,IF(J74=misLíneas-2,0,J74+1)))</f>
        <v>1</v>
      </c>
      <c r="K75" s="20" t="str" cm="1">
        <f t="array" aca="1" ref="K75" ca="1">IF(OR(J75=0,J75=""),"",INDEX(misCriticidades,I75)&amp;"-"&amp;IFERROR(MATCH(J75,miOrdenTarjeta,0),0))</f>
        <v>2-1</v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50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9</v>
      </c>
      <c r="I76" s="20">
        <f t="shared" ca="1" si="27"/>
        <v>61</v>
      </c>
      <c r="J76" s="20" cm="1">
        <f t="array" aca="1" ref="J76" ca="1">IF(I76="","",IF(I76&lt;&gt;I75,1,IF(J75=misLíneas-2,0,J75+1)))</f>
        <v>2</v>
      </c>
      <c r="K76" s="20" t="str" cm="1">
        <f t="array" aca="1" ref="K76" ca="1">IF(OR(J76=0,J76=""),"",INDEX(misCriticidades,I76)&amp;"-"&amp;IFERROR(MATCH(J76,miOrdenTarjeta,0),0))</f>
        <v>2-2</v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50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9</v>
      </c>
      <c r="I77" s="20">
        <f t="shared" ca="1" si="27"/>
        <v>61</v>
      </c>
      <c r="J77" s="20" cm="1">
        <f t="array" aca="1" ref="J77" ca="1">IF(I77="","",IF(I77&lt;&gt;I76,1,IF(J76=misLíneas-2,0,J76+1)))</f>
        <v>3</v>
      </c>
      <c r="K77" s="20" t="str" cm="1">
        <f t="array" aca="1" ref="K77" ca="1">IF(OR(J77=0,J77=""),"",INDEX(misCriticidades,I77)&amp;"-"&amp;IFERROR(MATCH(J77,miOrdenTarjeta,0),0))</f>
        <v>2-3</v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50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9</v>
      </c>
      <c r="I78" s="20">
        <f t="shared" ca="1" si="27"/>
        <v>61</v>
      </c>
      <c r="J78" s="20" cm="1">
        <f t="array" aca="1" ref="J78" ca="1">IF(I78="","",IF(I78&lt;&gt;I77,1,IF(J77=misLíneas-2,0,J77+1)))</f>
        <v>4</v>
      </c>
      <c r="K78" s="20" t="str" cm="1">
        <f t="array" aca="1" ref="K78" ca="1">IF(OR(J78=0,J78=""),"",INDEX(misCriticidades,I78)&amp;"-"&amp;IFERROR(MATCH(J78,miOrdenTarjeta,0),0))</f>
        <v>2-4</v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50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9</v>
      </c>
      <c r="I79" s="20">
        <f t="shared" ca="1" si="27"/>
        <v>61</v>
      </c>
      <c r="J79" s="20" cm="1">
        <f t="array" aca="1" ref="J79" ca="1">IF(I79="","",IF(I79&lt;&gt;I78,1,IF(J78=misLíneas-2,0,J78+1)))</f>
        <v>5</v>
      </c>
      <c r="K79" s="20" t="str" cm="1">
        <f t="array" aca="1" ref="K79" ca="1">IF(OR(J79=0,J79=""),"",INDEX(misCriticidades,I79)&amp;"-"&amp;IFERROR(MATCH(J79,miOrdenTarjeta,0),0))</f>
        <v>2-5</v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50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9</v>
      </c>
      <c r="I80" s="20">
        <f t="shared" ca="1" si="27"/>
        <v>61</v>
      </c>
      <c r="J80" s="20" cm="1">
        <f t="array" aca="1" ref="J80" ca="1">IF(I80="","",IF(I80&lt;&gt;I79,1,IF(J79=misLíneas-2,0,J79+1)))</f>
        <v>6</v>
      </c>
      <c r="K80" s="20" t="str" cm="1">
        <f t="array" aca="1" ref="K80" ca="1">IF(OR(J80=0,J80=""),"",INDEX(misCriticidades,I80)&amp;"-"&amp;IFERROR(MATCH(J80,miOrdenTarjeta,0),0))</f>
        <v>2-6</v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50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9</v>
      </c>
      <c r="I81" s="20">
        <f t="shared" ca="1" si="27"/>
        <v>61</v>
      </c>
      <c r="J81" s="20" cm="1">
        <f t="array" aca="1" ref="J81" ca="1">IF(I81="","",IF(I81&lt;&gt;I80,1,IF(J80=misLíneas-2,0,J80+1)))</f>
        <v>7</v>
      </c>
      <c r="K81" s="20" t="str" cm="1">
        <f t="array" aca="1" ref="K81" ca="1">IF(OR(J81=0,J81=""),"",INDEX(misCriticidades,I81)&amp;"-"&amp;IFERROR(MATCH(J81,miOrdenTarjeta,0),0))</f>
        <v>2-7</v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50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9</v>
      </c>
      <c r="I82" s="20">
        <f t="shared" ca="1" si="27"/>
        <v>61</v>
      </c>
      <c r="J82" s="20" cm="1">
        <f t="array" aca="1" ref="J82" ca="1">IF(I82="","",IF(I82&lt;&gt;I81,1,IF(J81=misLíneas-2,0,J81+1)))</f>
        <v>8</v>
      </c>
      <c r="K82" s="20" t="str" cm="1">
        <f t="array" aca="1" ref="K82" ca="1">IF(OR(J82=0,J82=""),"",INDEX(misCriticidades,I82)&amp;"-"&amp;IFERROR(MATCH(J82,miOrdenTarjeta,0),0))</f>
        <v>2-8</v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50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>
        <f t="shared" ca="1" si="27"/>
        <v>61</v>
      </c>
      <c r="J83" s="20" cm="1">
        <f t="array" aca="1" ref="J83" ca="1">IF(I83="","",IF(I83&lt;&gt;I82,1,IF(J82=misLíneas-2,0,J82+1)))</f>
        <v>0</v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50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10</v>
      </c>
      <c r="I84" s="20">
        <f t="shared" ca="1" si="27"/>
        <v>60</v>
      </c>
      <c r="J84" s="20" cm="1">
        <f t="array" aca="1" ref="J84" ca="1">IF(I84="","",IF(I84&lt;&gt;I83,1,IF(J83=misLíneas-2,0,J83+1)))</f>
        <v>1</v>
      </c>
      <c r="K84" s="20" t="str" cm="1">
        <f t="array" aca="1" ref="K84" ca="1">IF(OR(J84=0,J84=""),"",INDEX(misCriticidades,I84)&amp;"-"&amp;IFERROR(MATCH(J84,miOrdenTarjeta,0),0))</f>
        <v>2-1</v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49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10</v>
      </c>
      <c r="I85" s="20">
        <f t="shared" ca="1" si="27"/>
        <v>60</v>
      </c>
      <c r="J85" s="20" cm="1">
        <f t="array" aca="1" ref="J85" ca="1">IF(I85="","",IF(I85&lt;&gt;I84,1,IF(J84=misLíneas-2,0,J84+1)))</f>
        <v>2</v>
      </c>
      <c r="K85" s="20" t="str" cm="1">
        <f t="array" aca="1" ref="K85" ca="1">IF(OR(J85=0,J85=""),"",INDEX(misCriticidades,I85)&amp;"-"&amp;IFERROR(MATCH(J85,miOrdenTarjeta,0),0))</f>
        <v>2-2</v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49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10</v>
      </c>
      <c r="I86" s="20">
        <f t="shared" ca="1" si="27"/>
        <v>60</v>
      </c>
      <c r="J86" s="20" cm="1">
        <f t="array" aca="1" ref="J86" ca="1">IF(I86="","",IF(I86&lt;&gt;I85,1,IF(J85=misLíneas-2,0,J85+1)))</f>
        <v>3</v>
      </c>
      <c r="K86" s="20" t="str" cm="1">
        <f t="array" aca="1" ref="K86" ca="1">IF(OR(J86=0,J86=""),"",INDEX(misCriticidades,I86)&amp;"-"&amp;IFERROR(MATCH(J86,miOrdenTarjeta,0),0))</f>
        <v>2-3</v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49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10</v>
      </c>
      <c r="I87" s="20">
        <f t="shared" ca="1" si="27"/>
        <v>60</v>
      </c>
      <c r="J87" s="20" cm="1">
        <f t="array" aca="1" ref="J87" ca="1">IF(I87="","",IF(I87&lt;&gt;I86,1,IF(J86=misLíneas-2,0,J86+1)))</f>
        <v>4</v>
      </c>
      <c r="K87" s="20" t="str" cm="1">
        <f t="array" aca="1" ref="K87" ca="1">IF(OR(J87=0,J87=""),"",INDEX(misCriticidades,I87)&amp;"-"&amp;IFERROR(MATCH(J87,miOrdenTarjeta,0),0))</f>
        <v>2-4</v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49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10</v>
      </c>
      <c r="I88" s="20">
        <f t="shared" ca="1" si="27"/>
        <v>60</v>
      </c>
      <c r="J88" s="20" cm="1">
        <f t="array" aca="1" ref="J88" ca="1">IF(I88="","",IF(I88&lt;&gt;I87,1,IF(J87=misLíneas-2,0,J87+1)))</f>
        <v>5</v>
      </c>
      <c r="K88" s="20" t="str" cm="1">
        <f t="array" aca="1" ref="K88" ca="1">IF(OR(J88=0,J88=""),"",INDEX(misCriticidades,I88)&amp;"-"&amp;IFERROR(MATCH(J88,miOrdenTarjeta,0),0))</f>
        <v>2-5</v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49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10</v>
      </c>
      <c r="I89" s="20">
        <f t="shared" ca="1" si="27"/>
        <v>60</v>
      </c>
      <c r="J89" s="20" cm="1">
        <f t="array" aca="1" ref="J89" ca="1">IF(I89="","",IF(I89&lt;&gt;I88,1,IF(J88=misLíneas-2,0,J88+1)))</f>
        <v>6</v>
      </c>
      <c r="K89" s="20" t="str" cm="1">
        <f t="array" aca="1" ref="K89" ca="1">IF(OR(J89=0,J89=""),"",INDEX(misCriticidades,I89)&amp;"-"&amp;IFERROR(MATCH(J89,miOrdenTarjeta,0),0))</f>
        <v>2-6</v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49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10</v>
      </c>
      <c r="I90" s="20">
        <f t="shared" ca="1" si="27"/>
        <v>60</v>
      </c>
      <c r="J90" s="20" cm="1">
        <f t="array" aca="1" ref="J90" ca="1">IF(I90="","",IF(I90&lt;&gt;I89,1,IF(J89=misLíneas-2,0,J89+1)))</f>
        <v>7</v>
      </c>
      <c r="K90" s="20" t="str" cm="1">
        <f t="array" aca="1" ref="K90" ca="1">IF(OR(J90=0,J90=""),"",INDEX(misCriticidades,I90)&amp;"-"&amp;IFERROR(MATCH(J90,miOrdenTarjeta,0),0))</f>
        <v>2-7</v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49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10</v>
      </c>
      <c r="I91" s="20">
        <f t="shared" ca="1" si="27"/>
        <v>60</v>
      </c>
      <c r="J91" s="20" cm="1">
        <f t="array" aca="1" ref="J91" ca="1">IF(I91="","",IF(I91&lt;&gt;I90,1,IF(J90=misLíneas-2,0,J90+1)))</f>
        <v>8</v>
      </c>
      <c r="K91" s="20" t="str" cm="1">
        <f t="array" aca="1" ref="K91" ca="1">IF(OR(J91=0,J91=""),"",INDEX(misCriticidades,I91)&amp;"-"&amp;IFERROR(MATCH(J91,miOrdenTarjeta,0),0))</f>
        <v>2-8</v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49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10</v>
      </c>
      <c r="I92" s="20">
        <f t="shared" ca="1" si="27"/>
        <v>60</v>
      </c>
      <c r="J92" s="20" cm="1">
        <f t="array" aca="1" ref="J92" ca="1">IF(I92="","",IF(I92&lt;&gt;I91,1,IF(J91=misLíneas-2,0,J91+1)))</f>
        <v>0</v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49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48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48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48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48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48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48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48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48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48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45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45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45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45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45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45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45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45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45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42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42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42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42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42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42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42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42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42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40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40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40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40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40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40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40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40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40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39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39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39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39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39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39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39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39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39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38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38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38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38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38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38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38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38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38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37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37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37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37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37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37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37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130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</row>
    <row r="2" spans="1:7" x14ac:dyDescent="0.35">
      <c r="A2" s="32" t="str" cm="1">
        <f t="array" ref="A2">INDEX(TablaIdiomas[#This Row],1,$A$1)&amp;""</f>
        <v>Tablero KANBAN</v>
      </c>
      <c r="B2" s="2" t="s">
        <v>152</v>
      </c>
      <c r="C2" s="2" t="s">
        <v>153</v>
      </c>
      <c r="D2" s="2" t="s">
        <v>154</v>
      </c>
      <c r="E2" s="2" t="s">
        <v>155</v>
      </c>
      <c r="F2" s="2" t="s">
        <v>156</v>
      </c>
      <c r="G2" s="2" t="s">
        <v>157</v>
      </c>
    </row>
    <row r="3" spans="1:7" x14ac:dyDescent="0.35">
      <c r="A3" s="36" t="str" cm="1">
        <f t="array" ref="A3">INDEX(TablaIdiomas[#This Row],1,$A$1)&amp;""</f>
        <v>Idioma</v>
      </c>
      <c r="B3" s="2" t="s">
        <v>158</v>
      </c>
      <c r="C3" s="2" t="s">
        <v>159</v>
      </c>
      <c r="D3" s="2" t="s">
        <v>160</v>
      </c>
      <c r="E3" s="2" t="s">
        <v>161</v>
      </c>
      <c r="F3" s="2" t="s">
        <v>162</v>
      </c>
      <c r="G3" s="2" t="s">
        <v>163</v>
      </c>
    </row>
    <row r="4" spans="1:7" x14ac:dyDescent="0.35">
      <c r="A4" s="32" t="str" cm="1">
        <f t="array" ref="A4">INDEX(TablaIdiomas[#This Row],1,$A$1)&amp;""</f>
        <v>AVISO:</v>
      </c>
      <c r="B4" s="2" t="s">
        <v>164</v>
      </c>
      <c r="C4" s="2" t="s">
        <v>165</v>
      </c>
      <c r="D4" s="2" t="s">
        <v>166</v>
      </c>
      <c r="E4" s="2" t="s">
        <v>167</v>
      </c>
      <c r="F4" s="2" t="s">
        <v>168</v>
      </c>
      <c r="G4" s="2" t="s">
        <v>164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169</v>
      </c>
      <c r="C5" s="2" t="s">
        <v>170</v>
      </c>
      <c r="D5" s="2" t="s">
        <v>171</v>
      </c>
      <c r="E5" s="2" t="s">
        <v>172</v>
      </c>
      <c r="F5" s="2" t="s">
        <v>173</v>
      </c>
      <c r="G5" s="2" t="s">
        <v>174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175</v>
      </c>
      <c r="C6" s="2" t="s">
        <v>176</v>
      </c>
      <c r="D6" s="2" t="s">
        <v>177</v>
      </c>
      <c r="E6" s="2" t="s">
        <v>178</v>
      </c>
      <c r="F6" s="2" t="s">
        <v>179</v>
      </c>
      <c r="G6" s="2" t="s">
        <v>180</v>
      </c>
    </row>
    <row r="7" spans="1:7" x14ac:dyDescent="0.35">
      <c r="A7" s="36" t="str" cm="1">
        <f t="array" ref="A7">INDEX(TablaIdiomas[#This Row],1,$A$1)&amp;""</f>
        <v>Estados</v>
      </c>
      <c r="B7" s="2" t="s">
        <v>181</v>
      </c>
      <c r="C7" s="2" t="s">
        <v>182</v>
      </c>
      <c r="D7" s="2" t="s">
        <v>183</v>
      </c>
      <c r="E7" s="2" t="s">
        <v>184</v>
      </c>
      <c r="F7" s="2" t="s">
        <v>185</v>
      </c>
      <c r="G7" s="2" t="s">
        <v>181</v>
      </c>
    </row>
    <row r="8" spans="1:7" x14ac:dyDescent="0.35">
      <c r="A8" s="32" t="str" cm="1">
        <f t="array" ref="A8">INDEX(TablaIdiomas[#This Row],1,$A$1)&amp;""</f>
        <v>Criticidad</v>
      </c>
      <c r="B8" s="2" t="s">
        <v>186</v>
      </c>
      <c r="C8" s="2" t="s">
        <v>187</v>
      </c>
      <c r="D8" s="2" t="s">
        <v>188</v>
      </c>
      <c r="E8" s="2" t="s">
        <v>189</v>
      </c>
      <c r="F8" s="2" t="s">
        <v>190</v>
      </c>
      <c r="G8" s="2" t="s">
        <v>191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192</v>
      </c>
      <c r="C9" s="2" t="s">
        <v>193</v>
      </c>
      <c r="D9" s="2" t="s">
        <v>194</v>
      </c>
      <c r="E9" s="2" t="s">
        <v>195</v>
      </c>
      <c r="F9" s="2" t="s">
        <v>196</v>
      </c>
      <c r="G9" s="2" t="s">
        <v>197</v>
      </c>
    </row>
    <row r="10" spans="1:7" x14ac:dyDescent="0.35">
      <c r="A10" s="32" t="str" cm="1">
        <f t="array" ref="A10">INDEX(TablaIdiomas[#This Row],1,$A$1)&amp;""</f>
        <v>Estado final</v>
      </c>
      <c r="B10" s="2" t="s">
        <v>198</v>
      </c>
      <c r="C10" s="2" t="s">
        <v>199</v>
      </c>
      <c r="D10" s="2" t="s">
        <v>200</v>
      </c>
      <c r="E10" s="2" t="s">
        <v>201</v>
      </c>
      <c r="F10" s="2" t="s">
        <v>202</v>
      </c>
      <c r="G10" s="2" t="s">
        <v>198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203</v>
      </c>
      <c r="C11" s="2" t="s">
        <v>204</v>
      </c>
      <c r="D11" s="2" t="s">
        <v>205</v>
      </c>
      <c r="E11" s="2" t="s">
        <v>206</v>
      </c>
      <c r="F11" s="2" t="s">
        <v>207</v>
      </c>
      <c r="G11" s="2" t="s">
        <v>208</v>
      </c>
    </row>
    <row r="12" spans="1:7" x14ac:dyDescent="0.35">
      <c r="A12" s="32" t="str" cm="1">
        <f t="array" ref="A12">INDEX(TablaIdiomas[#This Row],1,$A$1)&amp;""</f>
        <v>Tarea</v>
      </c>
      <c r="B12" s="2" t="s">
        <v>209</v>
      </c>
      <c r="C12" s="2" t="s">
        <v>210</v>
      </c>
      <c r="D12" s="2" t="s">
        <v>211</v>
      </c>
      <c r="E12" s="2" t="s">
        <v>212</v>
      </c>
      <c r="F12" s="2" t="s">
        <v>213</v>
      </c>
      <c r="G12" s="2" t="s">
        <v>214</v>
      </c>
    </row>
    <row r="13" spans="1:7" x14ac:dyDescent="0.35">
      <c r="A13" s="36" t="str" cm="1">
        <f t="array" ref="A13">INDEX(TablaIdiomas[#This Row],1,$A$1)&amp;""</f>
        <v>Descripción</v>
      </c>
      <c r="B13" s="2" t="s">
        <v>215</v>
      </c>
      <c r="C13" s="2" t="s">
        <v>216</v>
      </c>
      <c r="D13" s="2" t="s">
        <v>216</v>
      </c>
      <c r="E13" s="2" t="s">
        <v>217</v>
      </c>
      <c r="F13" s="2" t="s">
        <v>218</v>
      </c>
      <c r="G13" s="2" t="s">
        <v>219</v>
      </c>
    </row>
    <row r="14" spans="1:7" x14ac:dyDescent="0.35">
      <c r="A14" s="32" t="str" cm="1">
        <f t="array" ref="A14">INDEX(TablaIdiomas[#This Row],1,$A$1)&amp;""</f>
        <v>Inicio</v>
      </c>
      <c r="B14" s="2" t="s">
        <v>220</v>
      </c>
      <c r="C14" s="2" t="s">
        <v>221</v>
      </c>
      <c r="D14" s="2" t="s">
        <v>222</v>
      </c>
      <c r="E14" s="2" t="s">
        <v>223</v>
      </c>
      <c r="F14" s="2" t="s">
        <v>221</v>
      </c>
      <c r="G14" s="2" t="s">
        <v>224</v>
      </c>
    </row>
    <row r="15" spans="1:7" x14ac:dyDescent="0.35">
      <c r="A15" s="36" t="str" cm="1">
        <f t="array" ref="A15">INDEX(TablaIdiomas[#This Row],1,$A$1)&amp;""</f>
        <v>Previsto</v>
      </c>
      <c r="B15" s="2" t="s">
        <v>225</v>
      </c>
      <c r="C15" s="2" t="s">
        <v>226</v>
      </c>
      <c r="D15" s="2" t="s">
        <v>227</v>
      </c>
      <c r="E15" s="2" t="s">
        <v>228</v>
      </c>
      <c r="F15" s="2" t="s">
        <v>229</v>
      </c>
      <c r="G15" s="2" t="s">
        <v>230</v>
      </c>
    </row>
    <row r="16" spans="1:7" x14ac:dyDescent="0.35">
      <c r="A16" s="32" t="str" cm="1">
        <f t="array" ref="A16">INDEX(TablaIdiomas[#This Row],1,$A$1)&amp;""</f>
        <v>Final</v>
      </c>
      <c r="B16" s="2" t="s">
        <v>231</v>
      </c>
      <c r="C16" s="2" t="s">
        <v>231</v>
      </c>
      <c r="D16" s="2" t="s">
        <v>232</v>
      </c>
      <c r="E16" s="2" t="s">
        <v>232</v>
      </c>
      <c r="F16" s="2" t="s">
        <v>232</v>
      </c>
      <c r="G16" s="2" t="s">
        <v>231</v>
      </c>
    </row>
    <row r="17" spans="1:7" x14ac:dyDescent="0.35">
      <c r="A17" s="36" t="str" cm="1">
        <f t="array" ref="A17">INDEX(TablaIdiomas[#This Row],1,$A$1)&amp;""</f>
        <v>Duración</v>
      </c>
      <c r="B17" s="2" t="s">
        <v>233</v>
      </c>
      <c r="C17" s="2" t="s">
        <v>234</v>
      </c>
      <c r="D17" s="2" t="s">
        <v>235</v>
      </c>
      <c r="E17" s="2" t="s">
        <v>236</v>
      </c>
      <c r="F17" s="2" t="s">
        <v>237</v>
      </c>
      <c r="G17" s="2" t="s">
        <v>238</v>
      </c>
    </row>
    <row r="18" spans="1:7" x14ac:dyDescent="0.35">
      <c r="A18" s="32" t="str" cm="1">
        <f t="array" ref="A18">INDEX(TablaIdiomas[#This Row],1,$A$1)&amp;""</f>
        <v>Retraso</v>
      </c>
      <c r="B18" s="2" t="s">
        <v>239</v>
      </c>
      <c r="C18" s="2" t="s">
        <v>240</v>
      </c>
      <c r="D18" s="2" t="s">
        <v>241</v>
      </c>
      <c r="E18" s="2" t="s">
        <v>242</v>
      </c>
      <c r="F18" s="2" t="s">
        <v>243</v>
      </c>
      <c r="G18" s="2" t="s">
        <v>244</v>
      </c>
    </row>
    <row r="19" spans="1:7" x14ac:dyDescent="0.35">
      <c r="A19" s="36" t="str" cm="1">
        <f t="array" ref="A19">INDEX(TablaIdiomas[#This Row],1,$A$1)&amp;""</f>
        <v>Asignado</v>
      </c>
      <c r="B19" s="2" t="s">
        <v>245</v>
      </c>
      <c r="C19" s="2" t="s">
        <v>246</v>
      </c>
      <c r="D19" s="2" t="s">
        <v>247</v>
      </c>
      <c r="E19" s="2" t="s">
        <v>248</v>
      </c>
      <c r="F19" s="2" t="s">
        <v>249</v>
      </c>
      <c r="G19" s="2" t="s">
        <v>250</v>
      </c>
    </row>
    <row r="20" spans="1:7" x14ac:dyDescent="0.35">
      <c r="A20" s="32" t="str" cm="1">
        <f t="array" ref="A20">INDEX(TablaIdiomas[#This Row],1,$A$1)&amp;""</f>
        <v>Filtro</v>
      </c>
      <c r="B20" s="2" t="s">
        <v>251</v>
      </c>
      <c r="C20" s="2" t="s">
        <v>252</v>
      </c>
      <c r="D20" s="2" t="s">
        <v>253</v>
      </c>
      <c r="E20" s="2" t="s">
        <v>251</v>
      </c>
      <c r="F20" s="2" t="s">
        <v>252</v>
      </c>
      <c r="G20" s="2" t="s">
        <v>251</v>
      </c>
    </row>
    <row r="21" spans="1:7" x14ac:dyDescent="0.35">
      <c r="A21" s="36" t="str" cm="1">
        <f t="array" ref="A21">INDEX(TablaIdiomas[#This Row],1,$A$1)&amp;""</f>
        <v>Celda</v>
      </c>
      <c r="B21" s="2" t="s">
        <v>254</v>
      </c>
      <c r="C21" s="2" t="s">
        <v>255</v>
      </c>
      <c r="D21" s="2" t="s">
        <v>256</v>
      </c>
      <c r="E21" s="2" t="s">
        <v>257</v>
      </c>
      <c r="F21" s="2" t="s">
        <v>258</v>
      </c>
      <c r="G21" s="2" t="s">
        <v>259</v>
      </c>
    </row>
    <row r="22" spans="1:7" x14ac:dyDescent="0.35">
      <c r="A22" s="32" t="str" cm="1">
        <f t="array" ref="A22">INDEX(TablaIdiomas[#This Row],1,$A$1)&amp;""</f>
        <v>Tarjetas con</v>
      </c>
      <c r="B22" s="2" t="s">
        <v>260</v>
      </c>
      <c r="C22" s="2" t="s">
        <v>261</v>
      </c>
      <c r="D22" s="2" t="s">
        <v>262</v>
      </c>
      <c r="E22" s="2" t="s">
        <v>263</v>
      </c>
      <c r="F22" s="2" t="s">
        <v>264</v>
      </c>
      <c r="G22" s="2" t="s">
        <v>265</v>
      </c>
    </row>
    <row r="23" spans="1:7" x14ac:dyDescent="0.35">
      <c r="A23" s="36" t="str" cm="1">
        <f t="array" ref="A23">INDEX(TablaIdiomas[#This Row],1,$A$1)&amp;""</f>
        <v>líneas</v>
      </c>
      <c r="B23" s="2" t="s">
        <v>266</v>
      </c>
      <c r="C23" s="2" t="s">
        <v>267</v>
      </c>
      <c r="D23" s="2" t="s">
        <v>268</v>
      </c>
      <c r="E23" s="2" t="s">
        <v>269</v>
      </c>
      <c r="F23" s="2" t="s">
        <v>270</v>
      </c>
      <c r="G23" s="2" t="s">
        <v>271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272</v>
      </c>
      <c r="C24" s="2" t="s">
        <v>273</v>
      </c>
      <c r="D24" s="2" t="s">
        <v>274</v>
      </c>
      <c r="E24" s="2" t="s">
        <v>275</v>
      </c>
      <c r="F24" s="2" t="s">
        <v>276</v>
      </c>
      <c r="G24" s="2" t="s">
        <v>277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278</v>
      </c>
      <c r="C25" s="2" t="s">
        <v>279</v>
      </c>
      <c r="D25" s="2" t="s">
        <v>280</v>
      </c>
      <c r="E25" s="2" t="s">
        <v>281</v>
      </c>
      <c r="F25" s="2" t="s">
        <v>282</v>
      </c>
      <c r="G25" s="2" t="s">
        <v>283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284</v>
      </c>
      <c r="C26" s="2" t="s">
        <v>285</v>
      </c>
      <c r="D26" s="2" t="s">
        <v>286</v>
      </c>
      <c r="E26" s="2" t="s">
        <v>287</v>
      </c>
      <c r="F26" s="2" t="s">
        <v>288</v>
      </c>
      <c r="G26" s="2" t="s">
        <v>289</v>
      </c>
    </row>
    <row r="27" spans="1:7" x14ac:dyDescent="0.35">
      <c r="A27" s="36" t="str" cm="1">
        <f t="array" ref="A27">INDEX(TablaIdiomas[#This Row],1,$A$1)&amp;""</f>
        <v>Con el texto</v>
      </c>
      <c r="B27" s="2" t="s">
        <v>290</v>
      </c>
      <c r="C27" s="2" t="s">
        <v>291</v>
      </c>
      <c r="D27" s="2" t="s">
        <v>292</v>
      </c>
      <c r="E27" s="2" t="s">
        <v>293</v>
      </c>
      <c r="F27" s="2" t="s">
        <v>294</v>
      </c>
      <c r="G27" s="2" t="s">
        <v>295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296</v>
      </c>
      <c r="C28" s="2" t="s">
        <v>297</v>
      </c>
      <c r="D28" s="2" t="s">
        <v>298</v>
      </c>
      <c r="E28" s="2" t="s">
        <v>299</v>
      </c>
      <c r="F28" s="2" t="s">
        <v>300</v>
      </c>
      <c r="G28" s="2" t="s">
        <v>301</v>
      </c>
    </row>
    <row r="29" spans="1:7" x14ac:dyDescent="0.35">
      <c r="A29" s="36" t="str" cm="1">
        <f t="array" ref="A29">INDEX(TablaIdiomas[#This Row],1,$A$1)&amp;""</f>
        <v>días</v>
      </c>
      <c r="B29" s="2" t="s">
        <v>302</v>
      </c>
      <c r="C29" s="2" t="s">
        <v>303</v>
      </c>
      <c r="D29" s="2" t="s">
        <v>304</v>
      </c>
      <c r="E29" s="2" t="s">
        <v>305</v>
      </c>
      <c r="F29" s="2" t="s">
        <v>306</v>
      </c>
      <c r="G29" s="2" t="s">
        <v>307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308</v>
      </c>
      <c r="C30" s="2" t="s">
        <v>309</v>
      </c>
      <c r="D30" s="2" t="s">
        <v>310</v>
      </c>
      <c r="E30" s="2" t="s">
        <v>311</v>
      </c>
      <c r="F30" s="2" t="s">
        <v>312</v>
      </c>
      <c r="G30" s="2" t="s">
        <v>313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314</v>
      </c>
      <c r="C31" s="2" t="s">
        <v>315</v>
      </c>
      <c r="D31" s="2" t="s">
        <v>316</v>
      </c>
      <c r="E31" s="2" t="s">
        <v>317</v>
      </c>
      <c r="F31" s="2" t="s">
        <v>318</v>
      </c>
      <c r="G31" s="2" t="s">
        <v>319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320</v>
      </c>
      <c r="C32" s="2" t="s">
        <v>321</v>
      </c>
      <c r="D32" s="2" t="s">
        <v>322</v>
      </c>
      <c r="E32" s="2" t="s">
        <v>323</v>
      </c>
      <c r="F32" s="2" t="s">
        <v>324</v>
      </c>
      <c r="G32" s="2" t="s">
        <v>325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326</v>
      </c>
      <c r="C33" s="2" t="s">
        <v>327</v>
      </c>
      <c r="D33" s="2" t="s">
        <v>328</v>
      </c>
      <c r="E33" s="2" t="s">
        <v>329</v>
      </c>
      <c r="F33" s="2" t="s">
        <v>330</v>
      </c>
      <c r="G33" s="2" t="s">
        <v>331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paulinaquishpe40</cp:lastModifiedBy>
  <cp:revision>0</cp:revision>
  <dcterms:created xsi:type="dcterms:W3CDTF">2022-12-26T11:27:14Z</dcterms:created>
  <dcterms:modified xsi:type="dcterms:W3CDTF">2026-01-16T15:45:59Z</dcterms:modified>
  <cp:category/>
  <cp:contentStatus/>
</cp:coreProperties>
</file>